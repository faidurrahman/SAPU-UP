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NDUAN_IMPORT" sheetId="1" r:id="rId1"/>
    <sheet name="INPUT_HARIAN" sheetId="2" r:id="rId2"/>
    <sheet name="REKAP_HARIAN_RESMI" sheetId="3" r:id="rId3"/>
    <sheet name="REKAP_MATRIKS_BULANAN" sheetId="4" r:id="rId4"/>
    <sheet name="PENGOLAHAN_TPS3R" sheetId="5" r:id="rId5"/>
    <sheet name="MASTER_DAT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6.83203125" customWidth="1"/>
    <col min="2" max="2" width="30.83203125" customWidth="1"/>
    <col min="3" max="3" width="70.83203125" customWidth="1"/>
  </cols>
  <sheetData>
    <row r="1">
      <c r="A1" t="str">
        <v>PANDUAN PENGGUNAAN SPREADSHEET PENGELOLAAN SAMPAH KECAMATAN UJUNG PANDANG</v>
      </c>
    </row>
    <row r="2">
      <c r="A2" t="str">
        <v>Pemerintah Kota Makassar - Dinas Lingkungan Hidup (DLH) &amp; Kecamatan Ujung Pandang</v>
      </c>
    </row>
    <row r="3">
      <c r="A3" t="str">
        <v/>
      </c>
    </row>
    <row r="4">
      <c r="A4" t="str">
        <v>CARA IMPORT KE GOOGLE SPREADSHEET (GOOGLE SHEETS):</v>
      </c>
    </row>
    <row r="5">
      <c r="A5" t="str">
        <v>1.</v>
      </c>
      <c r="B5" t="str">
        <v>Buka browser dan masuk ke https://drive.google.com atau https://sheets.google.com</v>
      </c>
    </row>
    <row r="6">
      <c r="A6" t="str">
        <v>2.</v>
      </c>
      <c r="B6" t="str">
        <v>Klik tombol "+ Baru" (+ New) di pojok kiri atas, lalu pilih "Upload file"</v>
      </c>
    </row>
    <row r="7">
      <c r="A7" t="str">
        <v>3.</v>
      </c>
      <c r="B7" t="str">
        <v>Pilih file .xlsx ini yang telah diunduh</v>
      </c>
    </row>
    <row r="8">
      <c r="A8" t="str">
        <v>4.</v>
      </c>
      <c r="B8" t="str">
        <v>Setelah selesai diunggah, klik ganda file tersebut untuk membukanya</v>
      </c>
    </row>
    <row r="9">
      <c r="A9" t="str">
        <v>5.</v>
      </c>
      <c r="B9" t="str">
        <v>Klik menu "File" di pojok kiri atas Google Sheets -&gt; pilih "Simpan sebagai Google Spreadsheet"</v>
      </c>
    </row>
    <row r="10">
      <c r="A10" t="str">
        <v>6.</v>
      </c>
      <c r="B10" t="str">
        <v>Spreadsheet sekarang 100% online, siap dibagikan ke staf 10 Kelurahan untuk input harian!</v>
      </c>
    </row>
    <row r="11">
      <c r="A11" t="str">
        <v/>
      </c>
    </row>
    <row r="12">
      <c r="A12" t="str">
        <v>CARA MENGGUNAKAN UNTUK INPUT HARIAN:</v>
      </c>
    </row>
    <row r="13">
      <c r="A13" t="str">
        <v>* Buka Sheet "INPUT_HARIAN"</v>
      </c>
    </row>
    <row r="14">
      <c r="A14" t="str">
        <v>* Untuk setiap hari dan setiap Kelurahan, isi kolom Makanan, Sisa Buah, Sisa Sayur, Daun, dan Pakan Ternak.</v>
      </c>
    </row>
    <row r="15">
      <c r="A15" t="str">
        <v>* Kolom Total TPA, Total TPS3R, Total Pakan, dan Grand Total sudah dilengkapi RUMUS OTOMATIS (=SUM) sehingga Anda tidak perlu menghitung manual.</v>
      </c>
    </row>
    <row r="16">
      <c r="A16" t="str">
        <v>* Tersedia 210 baris data resmi 1-21 Oktober 2026 sebagai acuan, serta baris kosong di bawahnya siap pakai.</v>
      </c>
    </row>
    <row r="17">
      <c r="A17" t="str">
        <v/>
      </c>
    </row>
    <row r="18">
      <c r="A18" t="str">
        <v>DAFTAR SHEET DALAM FILE INI:</v>
      </c>
    </row>
    <row r="19">
      <c r="A19" t="str">
        <v>1.</v>
      </c>
      <c r="B19" t="str">
        <v>PANDUAN_IMPORT</v>
      </c>
      <c r="C19" t="str">
        <v>Panduan tata cara import ke Google Sheets &amp; pengisian data harian</v>
      </c>
    </row>
    <row r="20">
      <c r="A20" t="str">
        <v>2.</v>
      </c>
      <c r="B20" t="str">
        <v>INPUT_HARIAN</v>
      </c>
      <c r="C20" t="str">
        <v>Formulir database input harian per Kelurahan dengan rumus otomatis</v>
      </c>
    </row>
    <row r="21">
      <c r="A21" t="str">
        <v>3.</v>
      </c>
      <c r="B21" t="str">
        <v>REKAP_HARIAN_RESMI</v>
      </c>
      <c r="C21" t="str">
        <v>Format broadcast pesan WhatsApp resmi Kecamatan Ujung Pandang</v>
      </c>
    </row>
    <row r="22">
      <c r="A22" t="str">
        <v>4.</v>
      </c>
      <c r="B22" t="str">
        <v>REKAP_MATRIKS_BULANAN</v>
      </c>
      <c r="C22" t="str">
        <v>Tabel matriks 10 Kelurahan tanggal 1 s/d 31 beserta persentase kontribusi</v>
      </c>
    </row>
    <row r="23">
      <c r="A23" t="str">
        <v>5.</v>
      </c>
      <c r="B23" t="str">
        <v>PENGOLAHAN_TPS3R</v>
      </c>
      <c r="C23" t="str">
        <v>Catatan harian biokonversi Maggot BSF dan komposting Open Windrow</v>
      </c>
    </row>
    <row r="24">
      <c r="A24" t="str">
        <v>6.</v>
      </c>
      <c r="B24" t="str">
        <v>MASTER_DATA</v>
      </c>
      <c r="C24" t="str">
        <v>Data referensi resmi 10 Kelurahan, Lurah, dan Petugas Pakan</v>
      </c>
    </row>
  </sheetData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251"/>
  <sheetViews>
    <sheetView workbookViewId="0"/>
  </sheetViews>
  <cols>
    <col min="1" max="1" width="6.83203125" customWidth="1"/>
    <col min="2" max="2" width="12.83203125" customWidth="1"/>
    <col min="3" max="3" width="16.83203125" customWidth="1"/>
    <col min="4" max="4" width="2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4.83203125" customWidth="1"/>
    <col min="12" max="12" width="14.83203125" customWidth="1"/>
    <col min="13" max="13" width="28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8.83203125" customWidth="1"/>
    <col min="19" max="19" width="25.83203125" customWidth="1"/>
    <col min="20" max="20" width="25.83203125" customWidth="1"/>
  </cols>
  <sheetData>
    <row r="1">
      <c r="A1" t="str">
        <v>No</v>
      </c>
      <c r="B1" t="str">
        <v>Tanggal</v>
      </c>
      <c r="C1" t="str">
        <v>Kode_Kelurahan</v>
      </c>
      <c r="D1" t="str">
        <v>Nama_Kelurahan</v>
      </c>
      <c r="E1" t="str">
        <v>Makanan_TPA_Kg</v>
      </c>
      <c r="F1" t="str">
        <v>Makanan_TPS3R_Kg</v>
      </c>
      <c r="G1" t="str">
        <v>Sisa_Buah_TPA_Kg</v>
      </c>
      <c r="H1" t="str">
        <v>Sisa_Buah_TPS3R_Kg</v>
      </c>
      <c r="I1" t="str">
        <v>Sisa_Sayur_TPA_Kg</v>
      </c>
      <c r="J1" t="str">
        <v>Sisa_Sayur_TPS3R_Kg</v>
      </c>
      <c r="K1" t="str">
        <v>Daun_TPA_Kg</v>
      </c>
      <c r="L1" t="str">
        <v>Daun_TPS3R_Kg</v>
      </c>
      <c r="M1" t="str">
        <v>Nama_Petugas_Pakan</v>
      </c>
      <c r="N1" t="str">
        <v>Berat_Pakan_Kg</v>
      </c>
      <c r="O1" t="str">
        <v>TOTAL_TPA_KG</v>
      </c>
      <c r="P1" t="str">
        <v>TOTAL_TPS3R_KG</v>
      </c>
      <c r="Q1" t="str">
        <v>TOTAL_PAKAN_KG</v>
      </c>
      <c r="R1" t="str">
        <v>GRAND_TOTAL_KG</v>
      </c>
      <c r="S1" t="str">
        <v>Petugas_Input</v>
      </c>
      <c r="T1" t="str">
        <v>Catatan</v>
      </c>
    </row>
    <row r="2">
      <c r="A2">
        <v>1</v>
      </c>
      <c r="B2" t="str">
        <v>2026-10-01</v>
      </c>
      <c r="C2" t="str">
        <v>73.71.01.1001</v>
      </c>
      <c r="D2" t="str">
        <v>Kelurahan Baru</v>
      </c>
      <c r="E2">
        <v>173</v>
      </c>
      <c r="F2">
        <v>773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tr">
        <v>Musliadi (46Kg)</v>
      </c>
      <c r="N2">
        <v>46</v>
      </c>
      <c r="O2">
        <f>E2+G2+I2+K2</f>
      </c>
      <c r="P2">
        <f>F2+H2+J2+L2</f>
      </c>
      <c r="Q2">
        <f>N2</f>
      </c>
      <c r="R2">
        <f>O2+P2+Q2</f>
      </c>
      <c r="S2" t="str">
        <v>Petugas Kebersihan BARU</v>
      </c>
      <c r="T2" t="str">
        <v>Data Resmi Oktober 2026</v>
      </c>
    </row>
    <row r="3">
      <c r="A3">
        <v>2</v>
      </c>
      <c r="B3" t="str">
        <v>2026-10-01</v>
      </c>
      <c r="C3" t="str">
        <v>73.71.01.1002</v>
      </c>
      <c r="D3" t="str">
        <v>Kelurahan Bulogading</v>
      </c>
      <c r="E3">
        <v>43</v>
      </c>
      <c r="F3">
        <v>25</v>
      </c>
      <c r="G3">
        <v>12</v>
      </c>
      <c r="H3">
        <v>6</v>
      </c>
      <c r="I3">
        <v>9</v>
      </c>
      <c r="J3">
        <v>5</v>
      </c>
      <c r="K3">
        <v>53</v>
      </c>
      <c r="L3">
        <v>13</v>
      </c>
      <c r="M3" t="str">
        <v>Ansu (47Kg), Awal Wahid (36Kg)</v>
      </c>
      <c r="N3">
        <v>83</v>
      </c>
      <c r="O3">
        <f>E3+G3+I3+K3</f>
      </c>
      <c r="P3">
        <f>F3+H3+J3+L3</f>
      </c>
      <c r="Q3">
        <f>N3</f>
      </c>
      <c r="R3">
        <f>O3+P3+Q3</f>
      </c>
      <c r="S3" t="str">
        <v>Petugas Kebersihan BULOGADING</v>
      </c>
      <c r="T3" t="str">
        <v>Data Resmi Oktober 2026</v>
      </c>
    </row>
    <row r="4">
      <c r="A4">
        <v>3</v>
      </c>
      <c r="B4" t="str">
        <v>2026-10-01</v>
      </c>
      <c r="C4" t="str">
        <v>73.71.01.1003</v>
      </c>
      <c r="D4" t="str">
        <v>Kelurahan Lae-Lae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tr">
        <v>-</v>
      </c>
      <c r="N4">
        <v>0</v>
      </c>
      <c r="O4">
        <f>E4+G4+I4+K4</f>
      </c>
      <c r="P4">
        <f>F4+H4+J4+L4</f>
      </c>
      <c r="Q4">
        <f>N4</f>
      </c>
      <c r="R4">
        <f>O4+P4+Q4</f>
      </c>
      <c r="S4" t="str">
        <v>Petugas Kebersihan LAE-LAE</v>
      </c>
      <c r="T4" t="str">
        <v>Data Resmi Oktober 2026</v>
      </c>
    </row>
    <row r="5">
      <c r="A5">
        <v>4</v>
      </c>
      <c r="B5" t="str">
        <v>2026-10-01</v>
      </c>
      <c r="C5" t="str">
        <v>73.71.01.1004</v>
      </c>
      <c r="D5" t="str">
        <v>Kelurahan Lajangiru</v>
      </c>
      <c r="E5">
        <v>4</v>
      </c>
      <c r="F5">
        <v>0</v>
      </c>
      <c r="G5">
        <v>6</v>
      </c>
      <c r="H5">
        <v>0</v>
      </c>
      <c r="I5">
        <v>4</v>
      </c>
      <c r="J5">
        <v>0</v>
      </c>
      <c r="K5">
        <v>10</v>
      </c>
      <c r="L5">
        <v>0</v>
      </c>
      <c r="M5" t="str">
        <v>-</v>
      </c>
      <c r="N5">
        <v>0</v>
      </c>
      <c r="O5">
        <f>E5+G5+I5+K5</f>
      </c>
      <c r="P5">
        <f>F5+H5+J5+L5</f>
      </c>
      <c r="Q5">
        <f>N5</f>
      </c>
      <c r="R5">
        <f>O5+P5+Q5</f>
      </c>
      <c r="S5" t="str">
        <v>Petugas Kebersihan LAJANGIRU</v>
      </c>
      <c r="T5" t="str">
        <v>Data Resmi Oktober 2026</v>
      </c>
    </row>
    <row r="6">
      <c r="A6">
        <v>5</v>
      </c>
      <c r="B6" t="str">
        <v>2026-10-01</v>
      </c>
      <c r="C6" t="str">
        <v>73.71.01.1005</v>
      </c>
      <c r="D6" t="str">
        <v>Kelurahan Losari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72</v>
      </c>
      <c r="L6">
        <v>0</v>
      </c>
      <c r="M6" t="str">
        <v>Hasrul (26Kg)</v>
      </c>
      <c r="N6">
        <v>26</v>
      </c>
      <c r="O6">
        <f>E6+G6+I6+K6</f>
      </c>
      <c r="P6">
        <f>F6+H6+J6+L6</f>
      </c>
      <c r="Q6">
        <f>N6</f>
      </c>
      <c r="R6">
        <f>O6+P6+Q6</f>
      </c>
      <c r="S6" t="str">
        <v>Petugas Kebersihan LOSARI</v>
      </c>
      <c r="T6" t="str">
        <v>Data Resmi Oktober 2026</v>
      </c>
    </row>
    <row r="7">
      <c r="A7">
        <v>6</v>
      </c>
      <c r="B7" t="str">
        <v>2026-10-01</v>
      </c>
      <c r="C7" t="str">
        <v>73.71.01.1006</v>
      </c>
      <c r="D7" t="str">
        <v>Kelurahan Maloku</v>
      </c>
      <c r="E7">
        <v>15</v>
      </c>
      <c r="F7">
        <v>21</v>
      </c>
      <c r="G7">
        <v>0</v>
      </c>
      <c r="H7">
        <v>0</v>
      </c>
      <c r="I7">
        <v>4</v>
      </c>
      <c r="J7">
        <v>5</v>
      </c>
      <c r="K7">
        <v>9</v>
      </c>
      <c r="L7">
        <v>8</v>
      </c>
      <c r="M7" t="str">
        <v>Erwin (51Kg), Samsir (48Kg)</v>
      </c>
      <c r="N7">
        <v>99</v>
      </c>
      <c r="O7">
        <f>E7+G7+I7+K7</f>
      </c>
      <c r="P7">
        <f>F7+H7+J7+L7</f>
      </c>
      <c r="Q7">
        <f>N7</f>
      </c>
      <c r="R7">
        <f>O7+P7+Q7</f>
      </c>
      <c r="S7" t="str">
        <v>Petugas Kebersihan MALOKU</v>
      </c>
      <c r="T7" t="str">
        <v>Data Resmi Oktober 2026</v>
      </c>
    </row>
    <row r="8">
      <c r="A8">
        <v>7</v>
      </c>
      <c r="B8" t="str">
        <v>2026-10-01</v>
      </c>
      <c r="C8" t="str">
        <v>73.71.01.1007</v>
      </c>
      <c r="D8" t="str">
        <v>Kelurahan Mangkura</v>
      </c>
      <c r="E8">
        <v>44</v>
      </c>
      <c r="F8">
        <v>31</v>
      </c>
      <c r="G8">
        <v>24</v>
      </c>
      <c r="H8">
        <v>16</v>
      </c>
      <c r="I8">
        <v>6</v>
      </c>
      <c r="J8">
        <v>4</v>
      </c>
      <c r="K8">
        <v>29</v>
      </c>
      <c r="L8">
        <v>19</v>
      </c>
      <c r="M8" t="str">
        <v>Malalengga (27Kg), Abd. Rahman (36Kg)</v>
      </c>
      <c r="N8">
        <v>63</v>
      </c>
      <c r="O8">
        <f>E8+G8+I8+K8</f>
      </c>
      <c r="P8">
        <f>F8+H8+J8+L8</f>
      </c>
      <c r="Q8">
        <f>N8</f>
      </c>
      <c r="R8">
        <f>O8+P8+Q8</f>
      </c>
      <c r="S8" t="str">
        <v>Petugas Kebersihan MANGKURA</v>
      </c>
      <c r="T8" t="str">
        <v>Data Resmi Oktober 2026</v>
      </c>
    </row>
    <row r="9">
      <c r="A9">
        <v>8</v>
      </c>
      <c r="B9" t="str">
        <v>2026-10-01</v>
      </c>
      <c r="C9" t="str">
        <v>73.71.01.1008</v>
      </c>
      <c r="D9" t="str">
        <v>Kelurahan Pisang Selatan</v>
      </c>
      <c r="E9">
        <v>8</v>
      </c>
      <c r="F9">
        <v>0</v>
      </c>
      <c r="G9">
        <v>4</v>
      </c>
      <c r="H9">
        <v>0</v>
      </c>
      <c r="I9">
        <v>1</v>
      </c>
      <c r="J9">
        <v>0</v>
      </c>
      <c r="K9">
        <v>5</v>
      </c>
      <c r="L9">
        <v>0</v>
      </c>
      <c r="M9" t="str">
        <v>-</v>
      </c>
      <c r="N9">
        <v>0</v>
      </c>
      <c r="O9">
        <f>E9+G9+I9+K9</f>
      </c>
      <c r="P9">
        <f>F9+H9+J9+L9</f>
      </c>
      <c r="Q9">
        <f>N9</f>
      </c>
      <c r="R9">
        <f>O9+P9+Q9</f>
      </c>
      <c r="S9" t="str">
        <v>Petugas Kebersihan PISANG SELATAN</v>
      </c>
      <c r="T9" t="str">
        <v>Data Resmi Oktober 2026</v>
      </c>
    </row>
    <row r="10">
      <c r="A10">
        <v>9</v>
      </c>
      <c r="B10" t="str">
        <v>2026-10-01</v>
      </c>
      <c r="C10" t="str">
        <v>73.71.01.1009</v>
      </c>
      <c r="D10" t="str">
        <v>Kelurahan Pisang Utara</v>
      </c>
      <c r="E10">
        <v>3</v>
      </c>
      <c r="F10">
        <v>16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tr">
        <v>-</v>
      </c>
      <c r="N10">
        <v>0</v>
      </c>
      <c r="O10">
        <f>E10+G10+I10+K10</f>
      </c>
      <c r="P10">
        <f>F10+H10+J10+L10</f>
      </c>
      <c r="Q10">
        <f>N10</f>
      </c>
      <c r="R10">
        <f>O10+P10+Q10</f>
      </c>
      <c r="S10" t="str">
        <v>Petugas Kebersihan PISANG UTARA</v>
      </c>
      <c r="T10" t="str">
        <v>Data Resmi Oktober 2026</v>
      </c>
    </row>
    <row r="11">
      <c r="A11">
        <v>10</v>
      </c>
      <c r="B11" t="str">
        <v>2026-10-01</v>
      </c>
      <c r="C11" t="str">
        <v>73.71.01.1010</v>
      </c>
      <c r="D11" t="str">
        <v>Kelurahan Sawerigading</v>
      </c>
      <c r="E11">
        <v>23</v>
      </c>
      <c r="F11">
        <v>2</v>
      </c>
      <c r="G11">
        <v>0</v>
      </c>
      <c r="H11">
        <v>0</v>
      </c>
      <c r="I11">
        <v>0</v>
      </c>
      <c r="J11">
        <v>0</v>
      </c>
      <c r="K11">
        <v>106</v>
      </c>
      <c r="L11">
        <v>0</v>
      </c>
      <c r="M11" t="str">
        <v>Nurdin Aco (35Kg)</v>
      </c>
      <c r="N11">
        <v>35</v>
      </c>
      <c r="O11">
        <f>E11+G11+I11+K11</f>
      </c>
      <c r="P11">
        <f>F11+H11+J11+L11</f>
      </c>
      <c r="Q11">
        <f>N11</f>
      </c>
      <c r="R11">
        <f>O11+P11+Q11</f>
      </c>
      <c r="S11" t="str">
        <v>Petugas Kebersihan SAWERIGADING</v>
      </c>
      <c r="T11" t="str">
        <v>Data Resmi Oktober 2026</v>
      </c>
    </row>
    <row r="12">
      <c r="A12">
        <v>11</v>
      </c>
      <c r="B12" t="str">
        <v>2026-10-02</v>
      </c>
      <c r="C12" t="str">
        <v>73.71.01.1001</v>
      </c>
      <c r="D12" t="str">
        <v>Kelurahan Baru</v>
      </c>
      <c r="E12">
        <v>166</v>
      </c>
      <c r="F12">
        <v>743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tr">
        <v>Musliadi (45Kg)</v>
      </c>
      <c r="N12">
        <v>45</v>
      </c>
      <c r="O12">
        <f>E12+G12+I12+K12</f>
      </c>
      <c r="P12">
        <f>F12+H12+J12+L12</f>
      </c>
      <c r="Q12">
        <f>N12</f>
      </c>
      <c r="R12">
        <f>O12+P12+Q12</f>
      </c>
      <c r="S12" t="str">
        <v>Petugas Kebersihan BARU</v>
      </c>
      <c r="T12" t="str">
        <v>Data Resmi Oktober 2026</v>
      </c>
    </row>
    <row r="13">
      <c r="A13">
        <v>12</v>
      </c>
      <c r="B13" t="str">
        <v>2026-10-02</v>
      </c>
      <c r="C13" t="str">
        <v>73.71.01.1002</v>
      </c>
      <c r="D13" t="str">
        <v>Kelurahan Bulogading</v>
      </c>
      <c r="E13">
        <v>41</v>
      </c>
      <c r="F13">
        <v>24</v>
      </c>
      <c r="G13">
        <v>11</v>
      </c>
      <c r="H13">
        <v>6</v>
      </c>
      <c r="I13">
        <v>8</v>
      </c>
      <c r="J13">
        <v>5</v>
      </c>
      <c r="K13">
        <v>51</v>
      </c>
      <c r="L13">
        <v>13</v>
      </c>
      <c r="M13" t="str">
        <v>Ansu (45Kg), Awal Wahid (35Kg)</v>
      </c>
      <c r="N13">
        <v>80</v>
      </c>
      <c r="O13">
        <f>E13+G13+I13+K13</f>
      </c>
      <c r="P13">
        <f>F13+H13+J13+L13</f>
      </c>
      <c r="Q13">
        <f>N13</f>
      </c>
      <c r="R13">
        <f>O13+P13+Q13</f>
      </c>
      <c r="S13" t="str">
        <v>Petugas Kebersihan BULOGADING</v>
      </c>
      <c r="T13" t="str">
        <v>Data Resmi Oktober 2026</v>
      </c>
    </row>
    <row r="14">
      <c r="A14">
        <v>13</v>
      </c>
      <c r="B14" t="str">
        <v>2026-10-02</v>
      </c>
      <c r="C14" t="str">
        <v>73.71.01.1003</v>
      </c>
      <c r="D14" t="str">
        <v>Kelurahan Lae-Lae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tr">
        <v>-</v>
      </c>
      <c r="N14">
        <v>0</v>
      </c>
      <c r="O14">
        <f>E14+G14+I14+K14</f>
      </c>
      <c r="P14">
        <f>F14+H14+J14+L14</f>
      </c>
      <c r="Q14">
        <f>N14</f>
      </c>
      <c r="R14">
        <f>O14+P14+Q14</f>
      </c>
      <c r="S14" t="str">
        <v>Petugas Kebersihan LAE-LAE</v>
      </c>
      <c r="T14" t="str">
        <v>Data Resmi Oktober 2026</v>
      </c>
    </row>
    <row r="15">
      <c r="A15">
        <v>14</v>
      </c>
      <c r="B15" t="str">
        <v>2026-10-02</v>
      </c>
      <c r="C15" t="str">
        <v>73.71.01.1004</v>
      </c>
      <c r="D15" t="str">
        <v>Kelurahan Lajangiru</v>
      </c>
      <c r="E15">
        <v>4</v>
      </c>
      <c r="F15">
        <v>0</v>
      </c>
      <c r="G15">
        <v>5</v>
      </c>
      <c r="H15">
        <v>0</v>
      </c>
      <c r="I15">
        <v>4</v>
      </c>
      <c r="J15">
        <v>0</v>
      </c>
      <c r="K15">
        <v>10</v>
      </c>
      <c r="L15">
        <v>0</v>
      </c>
      <c r="M15" t="str">
        <v>-</v>
      </c>
      <c r="N15">
        <v>0</v>
      </c>
      <c r="O15">
        <f>E15+G15+I15+K15</f>
      </c>
      <c r="P15">
        <f>F15+H15+J15+L15</f>
      </c>
      <c r="Q15">
        <f>N15</f>
      </c>
      <c r="R15">
        <f>O15+P15+Q15</f>
      </c>
      <c r="S15" t="str">
        <v>Petugas Kebersihan LAJANGIRU</v>
      </c>
      <c r="T15" t="str">
        <v>Data Resmi Oktober 2026</v>
      </c>
    </row>
    <row r="16">
      <c r="A16">
        <v>15</v>
      </c>
      <c r="B16" t="str">
        <v>2026-10-02</v>
      </c>
      <c r="C16" t="str">
        <v>73.71.01.1005</v>
      </c>
      <c r="D16" t="str">
        <v>Kelurahan Losari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69</v>
      </c>
      <c r="L16">
        <v>0</v>
      </c>
      <c r="M16" t="str">
        <v>Hasrul (25Kg)</v>
      </c>
      <c r="N16">
        <v>25</v>
      </c>
      <c r="O16">
        <f>E16+G16+I16+K16</f>
      </c>
      <c r="P16">
        <f>F16+H16+J16+L16</f>
      </c>
      <c r="Q16">
        <f>N16</f>
      </c>
      <c r="R16">
        <f>O16+P16+Q16</f>
      </c>
      <c r="S16" t="str">
        <v>Petugas Kebersihan LOSARI</v>
      </c>
      <c r="T16" t="str">
        <v>Data Resmi Oktober 2026</v>
      </c>
    </row>
    <row r="17">
      <c r="A17">
        <v>16</v>
      </c>
      <c r="B17" t="str">
        <v>2026-10-02</v>
      </c>
      <c r="C17" t="str">
        <v>73.71.01.1006</v>
      </c>
      <c r="D17" t="str">
        <v>Kelurahan Maloku</v>
      </c>
      <c r="E17">
        <v>15</v>
      </c>
      <c r="F17">
        <v>20</v>
      </c>
      <c r="G17">
        <v>0</v>
      </c>
      <c r="H17">
        <v>0</v>
      </c>
      <c r="I17">
        <v>4</v>
      </c>
      <c r="J17">
        <v>5</v>
      </c>
      <c r="K17">
        <v>8</v>
      </c>
      <c r="L17">
        <v>8</v>
      </c>
      <c r="M17" t="str">
        <v>Erwin (49Kg), Samsir (46Kg)</v>
      </c>
      <c r="N17">
        <v>95</v>
      </c>
      <c r="O17">
        <f>E17+G17+I17+K17</f>
      </c>
      <c r="P17">
        <f>F17+H17+J17+L17</f>
      </c>
      <c r="Q17">
        <f>N17</f>
      </c>
      <c r="R17">
        <f>O17+P17+Q17</f>
      </c>
      <c r="S17" t="str">
        <v>Petugas Kebersihan MALOKU</v>
      </c>
      <c r="T17" t="str">
        <v>Data Resmi Oktober 2026</v>
      </c>
    </row>
    <row r="18">
      <c r="A18">
        <v>17</v>
      </c>
      <c r="B18" t="str">
        <v>2026-10-02</v>
      </c>
      <c r="C18" t="str">
        <v>73.71.01.1007</v>
      </c>
      <c r="D18" t="str">
        <v>Kelurahan Mangkura</v>
      </c>
      <c r="E18">
        <v>42</v>
      </c>
      <c r="F18">
        <v>30</v>
      </c>
      <c r="G18">
        <v>23</v>
      </c>
      <c r="H18">
        <v>15</v>
      </c>
      <c r="I18">
        <v>5</v>
      </c>
      <c r="J18">
        <v>4</v>
      </c>
      <c r="K18">
        <v>28</v>
      </c>
      <c r="L18">
        <v>19</v>
      </c>
      <c r="M18" t="str">
        <v>Malalengga (26Kg), Abd. Rahman (35Kg)</v>
      </c>
      <c r="N18">
        <v>61</v>
      </c>
      <c r="O18">
        <f>E18+G18+I18+K18</f>
      </c>
      <c r="P18">
        <f>F18+H18+J18+L18</f>
      </c>
      <c r="Q18">
        <f>N18</f>
      </c>
      <c r="R18">
        <f>O18+P18+Q18</f>
      </c>
      <c r="S18" t="str">
        <v>Petugas Kebersihan MANGKURA</v>
      </c>
      <c r="T18" t="str">
        <v>Data Resmi Oktober 2026</v>
      </c>
    </row>
    <row r="19">
      <c r="A19">
        <v>18</v>
      </c>
      <c r="B19" t="str">
        <v>2026-10-02</v>
      </c>
      <c r="C19" t="str">
        <v>73.71.01.1008</v>
      </c>
      <c r="D19" t="str">
        <v>Kelurahan Pisang Selatan</v>
      </c>
      <c r="E19">
        <v>8</v>
      </c>
      <c r="F19">
        <v>0</v>
      </c>
      <c r="G19">
        <v>4</v>
      </c>
      <c r="H19">
        <v>0</v>
      </c>
      <c r="I19">
        <v>1</v>
      </c>
      <c r="J19">
        <v>0</v>
      </c>
      <c r="K19">
        <v>4</v>
      </c>
      <c r="L19">
        <v>0</v>
      </c>
      <c r="M19" t="str">
        <v>-</v>
      </c>
      <c r="N19">
        <v>0</v>
      </c>
      <c r="O19">
        <f>E19+G19+I19+K19</f>
      </c>
      <c r="P19">
        <f>F19+H19+J19+L19</f>
      </c>
      <c r="Q19">
        <f>N19</f>
      </c>
      <c r="R19">
        <f>O19+P19+Q19</f>
      </c>
      <c r="S19" t="str">
        <v>Petugas Kebersihan PISANG SELATAN</v>
      </c>
      <c r="T19" t="str">
        <v>Data Resmi Oktober 2026</v>
      </c>
    </row>
    <row r="20">
      <c r="A20">
        <v>19</v>
      </c>
      <c r="B20" t="str">
        <v>2026-10-02</v>
      </c>
      <c r="C20" t="str">
        <v>73.71.01.1009</v>
      </c>
      <c r="D20" t="str">
        <v>Kelurahan Pisang Utara</v>
      </c>
      <c r="E20">
        <v>3</v>
      </c>
      <c r="F20">
        <v>16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tr">
        <v>-</v>
      </c>
      <c r="N20">
        <v>0</v>
      </c>
      <c r="O20">
        <f>E20+G20+I20+K20</f>
      </c>
      <c r="P20">
        <f>F20+H20+J20+L20</f>
      </c>
      <c r="Q20">
        <f>N20</f>
      </c>
      <c r="R20">
        <f>O20+P20+Q20</f>
      </c>
      <c r="S20" t="str">
        <v>Petugas Kebersihan PISANG UTARA</v>
      </c>
      <c r="T20" t="str">
        <v>Data Resmi Oktober 2026</v>
      </c>
    </row>
    <row r="21">
      <c r="A21">
        <v>20</v>
      </c>
      <c r="B21" t="str">
        <v>2026-10-02</v>
      </c>
      <c r="C21" t="str">
        <v>73.71.01.1010</v>
      </c>
      <c r="D21" t="str">
        <v>Kelurahan Sawerigading</v>
      </c>
      <c r="E21">
        <v>22</v>
      </c>
      <c r="F21">
        <v>2</v>
      </c>
      <c r="G21">
        <v>0</v>
      </c>
      <c r="H21">
        <v>0</v>
      </c>
      <c r="I21">
        <v>0</v>
      </c>
      <c r="J21">
        <v>0</v>
      </c>
      <c r="K21">
        <v>102</v>
      </c>
      <c r="L21">
        <v>0</v>
      </c>
      <c r="M21" t="str">
        <v>Nurdin Aco (34Kg)</v>
      </c>
      <c r="N21">
        <v>34</v>
      </c>
      <c r="O21">
        <f>E21+G21+I21+K21</f>
      </c>
      <c r="P21">
        <f>F21+H21+J21+L21</f>
      </c>
      <c r="Q21">
        <f>N21</f>
      </c>
      <c r="R21">
        <f>O21+P21+Q21</f>
      </c>
      <c r="S21" t="str">
        <v>Petugas Kebersihan SAWERIGADING</v>
      </c>
      <c r="T21" t="str">
        <v>Data Resmi Oktober 2026</v>
      </c>
    </row>
    <row r="22">
      <c r="A22">
        <v>21</v>
      </c>
      <c r="B22" t="str">
        <v>2026-10-03</v>
      </c>
      <c r="C22" t="str">
        <v>73.71.01.1001</v>
      </c>
      <c r="D22" t="str">
        <v>Kelurahan Baru</v>
      </c>
      <c r="E22">
        <v>178</v>
      </c>
      <c r="F22">
        <v>796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tr">
        <v>Musliadi (48Kg)</v>
      </c>
      <c r="N22">
        <v>48</v>
      </c>
      <c r="O22">
        <f>E22+G22+I22+K22</f>
      </c>
      <c r="P22">
        <f>F22+H22+J22+L22</f>
      </c>
      <c r="Q22">
        <f>N22</f>
      </c>
      <c r="R22">
        <f>O22+P22+Q22</f>
      </c>
      <c r="S22" t="str">
        <v>Petugas Kebersihan BARU</v>
      </c>
      <c r="T22" t="str">
        <v>Data Resmi Oktober 2026</v>
      </c>
    </row>
    <row r="23">
      <c r="A23">
        <v>22</v>
      </c>
      <c r="B23" t="str">
        <v>2026-10-03</v>
      </c>
      <c r="C23" t="str">
        <v>73.71.01.1002</v>
      </c>
      <c r="D23" t="str">
        <v>Kelurahan Bulogading</v>
      </c>
      <c r="E23">
        <v>44</v>
      </c>
      <c r="F23">
        <v>26</v>
      </c>
      <c r="G23">
        <v>12</v>
      </c>
      <c r="H23">
        <v>6</v>
      </c>
      <c r="I23">
        <v>9</v>
      </c>
      <c r="J23">
        <v>5</v>
      </c>
      <c r="K23">
        <v>54</v>
      </c>
      <c r="L23">
        <v>14</v>
      </c>
      <c r="M23" t="str">
        <v>Ansu (48Kg), Awal Wahid (37Kg)</v>
      </c>
      <c r="N23">
        <v>85</v>
      </c>
      <c r="O23">
        <f>E23+G23+I23+K23</f>
      </c>
      <c r="P23">
        <f>F23+H23+J23+L23</f>
      </c>
      <c r="Q23">
        <f>N23</f>
      </c>
      <c r="R23">
        <f>O23+P23+Q23</f>
      </c>
      <c r="S23" t="str">
        <v>Petugas Kebersihan BULOGADING</v>
      </c>
      <c r="T23" t="str">
        <v>Data Resmi Oktober 2026</v>
      </c>
    </row>
    <row r="24">
      <c r="A24">
        <v>23</v>
      </c>
      <c r="B24" t="str">
        <v>2026-10-03</v>
      </c>
      <c r="C24" t="str">
        <v>73.71.01.1003</v>
      </c>
      <c r="D24" t="str">
        <v>Kelurahan Lae-Lae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tr">
        <v>-</v>
      </c>
      <c r="N24">
        <v>0</v>
      </c>
      <c r="O24">
        <f>E24+G24+I24+K24</f>
      </c>
      <c r="P24">
        <f>F24+H24+J24+L24</f>
      </c>
      <c r="Q24">
        <f>N24</f>
      </c>
      <c r="R24">
        <f>O24+P24+Q24</f>
      </c>
      <c r="S24" t="str">
        <v>Petugas Kebersihan LAE-LAE</v>
      </c>
      <c r="T24" t="str">
        <v>Data Resmi Oktober 2026</v>
      </c>
    </row>
    <row r="25">
      <c r="A25">
        <v>24</v>
      </c>
      <c r="B25" t="str">
        <v>2026-10-03</v>
      </c>
      <c r="C25" t="str">
        <v>73.71.01.1004</v>
      </c>
      <c r="D25" t="str">
        <v>Kelurahan Lajangiru</v>
      </c>
      <c r="E25">
        <v>5</v>
      </c>
      <c r="F25">
        <v>0</v>
      </c>
      <c r="G25">
        <v>6</v>
      </c>
      <c r="H25">
        <v>0</v>
      </c>
      <c r="I25">
        <v>5</v>
      </c>
      <c r="J25">
        <v>0</v>
      </c>
      <c r="K25">
        <v>11</v>
      </c>
      <c r="L25">
        <v>0</v>
      </c>
      <c r="M25" t="str">
        <v>-</v>
      </c>
      <c r="N25">
        <v>0</v>
      </c>
      <c r="O25">
        <f>E25+G25+I25+K25</f>
      </c>
      <c r="P25">
        <f>F25+H25+J25+L25</f>
      </c>
      <c r="Q25">
        <f>N25</f>
      </c>
      <c r="R25">
        <f>O25+P25+Q25</f>
      </c>
      <c r="S25" t="str">
        <v>Petugas Kebersihan LAJANGIRU</v>
      </c>
      <c r="T25" t="str">
        <v>Data Resmi Oktober 2026</v>
      </c>
    </row>
    <row r="26">
      <c r="A26">
        <v>25</v>
      </c>
      <c r="B26" t="str">
        <v>2026-10-03</v>
      </c>
      <c r="C26" t="str">
        <v>73.71.01.1005</v>
      </c>
      <c r="D26" t="str">
        <v>Kelurahan Losari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74</v>
      </c>
      <c r="L26">
        <v>0</v>
      </c>
      <c r="M26" t="str">
        <v>Hasrul (27Kg)</v>
      </c>
      <c r="N26">
        <v>27</v>
      </c>
      <c r="O26">
        <f>E26+G26+I26+K26</f>
      </c>
      <c r="P26">
        <f>F26+H26+J26+L26</f>
      </c>
      <c r="Q26">
        <f>N26</f>
      </c>
      <c r="R26">
        <f>O26+P26+Q26</f>
      </c>
      <c r="S26" t="str">
        <v>Petugas Kebersihan LOSARI</v>
      </c>
      <c r="T26" t="str">
        <v>Data Resmi Oktober 2026</v>
      </c>
    </row>
    <row r="27">
      <c r="A27">
        <v>26</v>
      </c>
      <c r="B27" t="str">
        <v>2026-10-03</v>
      </c>
      <c r="C27" t="str">
        <v>73.71.01.1006</v>
      </c>
      <c r="D27" t="str">
        <v>Kelurahan Maloku</v>
      </c>
      <c r="E27">
        <v>16</v>
      </c>
      <c r="F27">
        <v>22</v>
      </c>
      <c r="G27">
        <v>0</v>
      </c>
      <c r="H27">
        <v>0</v>
      </c>
      <c r="I27">
        <v>4</v>
      </c>
      <c r="J27">
        <v>5</v>
      </c>
      <c r="K27">
        <v>9</v>
      </c>
      <c r="L27">
        <v>8</v>
      </c>
      <c r="M27" t="str">
        <v>Erwin (52Kg), Samsir (49Kg)</v>
      </c>
      <c r="N27">
        <v>101</v>
      </c>
      <c r="O27">
        <f>E27+G27+I27+K27</f>
      </c>
      <c r="P27">
        <f>F27+H27+J27+L27</f>
      </c>
      <c r="Q27">
        <f>N27</f>
      </c>
      <c r="R27">
        <f>O27+P27+Q27</f>
      </c>
      <c r="S27" t="str">
        <v>Petugas Kebersihan MALOKU</v>
      </c>
      <c r="T27" t="str">
        <v>Data Resmi Oktober 2026</v>
      </c>
    </row>
    <row r="28">
      <c r="A28">
        <v>27</v>
      </c>
      <c r="B28" t="str">
        <v>2026-10-03</v>
      </c>
      <c r="C28" t="str">
        <v>73.71.01.1007</v>
      </c>
      <c r="D28" t="str">
        <v>Kelurahan Mangkura</v>
      </c>
      <c r="E28">
        <v>45</v>
      </c>
      <c r="F28">
        <v>32</v>
      </c>
      <c r="G28">
        <v>24</v>
      </c>
      <c r="H28">
        <v>16</v>
      </c>
      <c r="I28">
        <v>6</v>
      </c>
      <c r="J28">
        <v>4</v>
      </c>
      <c r="K28">
        <v>30</v>
      </c>
      <c r="L28">
        <v>20</v>
      </c>
      <c r="M28" t="str">
        <v>Malalengga (28Kg), Abd. Rahman (38Kg)</v>
      </c>
      <c r="N28">
        <v>66</v>
      </c>
      <c r="O28">
        <f>E28+G28+I28+K28</f>
      </c>
      <c r="P28">
        <f>F28+H28+J28+L28</f>
      </c>
      <c r="Q28">
        <f>N28</f>
      </c>
      <c r="R28">
        <f>O28+P28+Q28</f>
      </c>
      <c r="S28" t="str">
        <v>Petugas Kebersihan MANGKURA</v>
      </c>
      <c r="T28" t="str">
        <v>Data Resmi Oktober 2026</v>
      </c>
    </row>
    <row r="29">
      <c r="A29">
        <v>28</v>
      </c>
      <c r="B29" t="str">
        <v>2026-10-03</v>
      </c>
      <c r="C29" t="str">
        <v>73.71.01.1008</v>
      </c>
      <c r="D29" t="str">
        <v>Kelurahan Pisang Selatan</v>
      </c>
      <c r="E29">
        <v>8</v>
      </c>
      <c r="F29">
        <v>0</v>
      </c>
      <c r="G29">
        <v>4</v>
      </c>
      <c r="H29">
        <v>0</v>
      </c>
      <c r="I29">
        <v>1</v>
      </c>
      <c r="J29">
        <v>0</v>
      </c>
      <c r="K29">
        <v>5</v>
      </c>
      <c r="L29">
        <v>0</v>
      </c>
      <c r="M29" t="str">
        <v>-</v>
      </c>
      <c r="N29">
        <v>0</v>
      </c>
      <c r="O29">
        <f>E29+G29+I29+K29</f>
      </c>
      <c r="P29">
        <f>F29+H29+J29+L29</f>
      </c>
      <c r="Q29">
        <f>N29</f>
      </c>
      <c r="R29">
        <f>O29+P29+Q29</f>
      </c>
      <c r="S29" t="str">
        <v>Petugas Kebersihan PISANG SELATAN</v>
      </c>
      <c r="T29" t="str">
        <v>Data Resmi Oktober 2026</v>
      </c>
    </row>
    <row r="30">
      <c r="A30">
        <v>29</v>
      </c>
      <c r="B30" t="str">
        <v>2026-10-03</v>
      </c>
      <c r="C30" t="str">
        <v>73.71.01.1009</v>
      </c>
      <c r="D30" t="str">
        <v>Kelurahan Pisang Utara</v>
      </c>
      <c r="E30">
        <v>3</v>
      </c>
      <c r="F30">
        <v>17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tr">
        <v>-</v>
      </c>
      <c r="N30">
        <v>0</v>
      </c>
      <c r="O30">
        <f>E30+G30+I30+K30</f>
      </c>
      <c r="P30">
        <f>F30+H30+J30+L30</f>
      </c>
      <c r="Q30">
        <f>N30</f>
      </c>
      <c r="R30">
        <f>O30+P30+Q30</f>
      </c>
      <c r="S30" t="str">
        <v>Petugas Kebersihan PISANG UTARA</v>
      </c>
      <c r="T30" t="str">
        <v>Data Resmi Oktober 2026</v>
      </c>
    </row>
    <row r="31">
      <c r="A31">
        <v>30</v>
      </c>
      <c r="B31" t="str">
        <v>2026-10-03</v>
      </c>
      <c r="C31" t="str">
        <v>73.71.01.1010</v>
      </c>
      <c r="D31" t="str">
        <v>Kelurahan Sawerigading</v>
      </c>
      <c r="E31">
        <v>24</v>
      </c>
      <c r="F31">
        <v>2</v>
      </c>
      <c r="G31">
        <v>0</v>
      </c>
      <c r="H31">
        <v>0</v>
      </c>
      <c r="I31">
        <v>0</v>
      </c>
      <c r="J31">
        <v>0</v>
      </c>
      <c r="K31">
        <v>109</v>
      </c>
      <c r="L31">
        <v>0</v>
      </c>
      <c r="M31" t="str">
        <v>Nurdin Aco (37Kg)</v>
      </c>
      <c r="N31">
        <v>37</v>
      </c>
      <c r="O31">
        <f>E31+G31+I31+K31</f>
      </c>
      <c r="P31">
        <f>F31+H31+J31+L31</f>
      </c>
      <c r="Q31">
        <f>N31</f>
      </c>
      <c r="R31">
        <f>O31+P31+Q31</f>
      </c>
      <c r="S31" t="str">
        <v>Petugas Kebersihan SAWERIGADING</v>
      </c>
      <c r="T31" t="str">
        <v>Data Resmi Oktober 2026</v>
      </c>
    </row>
    <row r="32">
      <c r="A32">
        <v>31</v>
      </c>
      <c r="B32" t="str">
        <v>2026-10-04</v>
      </c>
      <c r="C32" t="str">
        <v>73.71.01.1001</v>
      </c>
      <c r="D32" t="str">
        <v>Kelurahan Baru</v>
      </c>
      <c r="E32">
        <v>190</v>
      </c>
      <c r="F32">
        <v>849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tr">
        <v>Musliadi (51Kg)</v>
      </c>
      <c r="N32">
        <v>51</v>
      </c>
      <c r="O32">
        <f>E32+G32+I32+K32</f>
      </c>
      <c r="P32">
        <f>F32+H32+J32+L32</f>
      </c>
      <c r="Q32">
        <f>N32</f>
      </c>
      <c r="R32">
        <f>O32+P32+Q32</f>
      </c>
      <c r="S32" t="str">
        <v>Petugas Kebersihan BARU</v>
      </c>
      <c r="T32" t="str">
        <v>Data Resmi Oktober 2026</v>
      </c>
    </row>
    <row r="33">
      <c r="A33">
        <v>32</v>
      </c>
      <c r="B33" t="str">
        <v>2026-10-04</v>
      </c>
      <c r="C33" t="str">
        <v>73.71.01.1002</v>
      </c>
      <c r="D33" t="str">
        <v>Kelurahan Bulogading</v>
      </c>
      <c r="E33">
        <v>47</v>
      </c>
      <c r="F33">
        <v>27</v>
      </c>
      <c r="G33">
        <v>13</v>
      </c>
      <c r="H33">
        <v>6</v>
      </c>
      <c r="I33">
        <v>10</v>
      </c>
      <c r="J33">
        <v>5</v>
      </c>
      <c r="K33">
        <v>58</v>
      </c>
      <c r="L33">
        <v>15</v>
      </c>
      <c r="M33" t="str">
        <v>Ansu (51Kg), Awal Wahid (40Kg)</v>
      </c>
      <c r="N33">
        <v>91</v>
      </c>
      <c r="O33">
        <f>E33+G33+I33+K33</f>
      </c>
      <c r="P33">
        <f>F33+H33+J33+L33</f>
      </c>
      <c r="Q33">
        <f>N33</f>
      </c>
      <c r="R33">
        <f>O33+P33+Q33</f>
      </c>
      <c r="S33" t="str">
        <v>Petugas Kebersihan BULOGADING</v>
      </c>
      <c r="T33" t="str">
        <v>Data Resmi Oktober 2026</v>
      </c>
    </row>
    <row r="34">
      <c r="A34">
        <v>33</v>
      </c>
      <c r="B34" t="str">
        <v>2026-10-04</v>
      </c>
      <c r="C34" t="str">
        <v>73.71.01.1003</v>
      </c>
      <c r="D34" t="str">
        <v>Kelurahan Lae-Lae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>-</v>
      </c>
      <c r="N34">
        <v>0</v>
      </c>
      <c r="O34">
        <f>E34+G34+I34+K34</f>
      </c>
      <c r="P34">
        <f>F34+H34+J34+L34</f>
      </c>
      <c r="Q34">
        <f>N34</f>
      </c>
      <c r="R34">
        <f>O34+P34+Q34</f>
      </c>
      <c r="S34" t="str">
        <v>Petugas Kebersihan LAE-LAE</v>
      </c>
      <c r="T34" t="str">
        <v>Data Resmi Oktober 2026</v>
      </c>
    </row>
    <row r="35">
      <c r="A35">
        <v>34</v>
      </c>
      <c r="B35" t="str">
        <v>2026-10-04</v>
      </c>
      <c r="C35" t="str">
        <v>73.71.01.1004</v>
      </c>
      <c r="D35" t="str">
        <v>Kelurahan Lajangiru</v>
      </c>
      <c r="E35">
        <v>5</v>
      </c>
      <c r="F35">
        <v>0</v>
      </c>
      <c r="G35">
        <v>6</v>
      </c>
      <c r="H35">
        <v>0</v>
      </c>
      <c r="I35">
        <v>5</v>
      </c>
      <c r="J35">
        <v>0</v>
      </c>
      <c r="K35">
        <v>11</v>
      </c>
      <c r="L35">
        <v>0</v>
      </c>
      <c r="M35" t="str">
        <v>-</v>
      </c>
      <c r="N35">
        <v>0</v>
      </c>
      <c r="O35">
        <f>E35+G35+I35+K35</f>
      </c>
      <c r="P35">
        <f>F35+H35+J35+L35</f>
      </c>
      <c r="Q35">
        <f>N35</f>
      </c>
      <c r="R35">
        <f>O35+P35+Q35</f>
      </c>
      <c r="S35" t="str">
        <v>Petugas Kebersihan LAJANGIRU</v>
      </c>
      <c r="T35" t="str">
        <v>Data Resmi Oktober 2026</v>
      </c>
    </row>
    <row r="36">
      <c r="A36">
        <v>35</v>
      </c>
      <c r="B36" t="str">
        <v>2026-10-04</v>
      </c>
      <c r="C36" t="str">
        <v>73.71.01.1005</v>
      </c>
      <c r="D36" t="str">
        <v>Kelurahan Losari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K36">
        <v>79</v>
      </c>
      <c r="L36">
        <v>0</v>
      </c>
      <c r="M36" t="str">
        <v>Hasrul (29Kg)</v>
      </c>
      <c r="N36">
        <v>29</v>
      </c>
      <c r="O36">
        <f>E36+G36+I36+K36</f>
      </c>
      <c r="P36">
        <f>F36+H36+J36+L36</f>
      </c>
      <c r="Q36">
        <f>N36</f>
      </c>
      <c r="R36">
        <f>O36+P36+Q36</f>
      </c>
      <c r="S36" t="str">
        <v>Petugas Kebersihan LOSARI</v>
      </c>
      <c r="T36" t="str">
        <v>Data Resmi Oktober 2026</v>
      </c>
    </row>
    <row r="37">
      <c r="A37">
        <v>36</v>
      </c>
      <c r="B37" t="str">
        <v>2026-10-04</v>
      </c>
      <c r="C37" t="str">
        <v>73.71.01.1006</v>
      </c>
      <c r="D37" t="str">
        <v>Kelurahan Maloku</v>
      </c>
      <c r="E37">
        <v>17</v>
      </c>
      <c r="F37">
        <v>23</v>
      </c>
      <c r="G37">
        <v>0</v>
      </c>
      <c r="H37">
        <v>0</v>
      </c>
      <c r="I37">
        <v>4</v>
      </c>
      <c r="J37">
        <v>6</v>
      </c>
      <c r="K37">
        <v>9</v>
      </c>
      <c r="L37">
        <v>9</v>
      </c>
      <c r="M37" t="str">
        <v>Erwin (56Kg), Samsir (52Kg)</v>
      </c>
      <c r="N37">
        <v>108</v>
      </c>
      <c r="O37">
        <f>E37+G37+I37+K37</f>
      </c>
      <c r="P37">
        <f>F37+H37+J37+L37</f>
      </c>
      <c r="Q37">
        <f>N37</f>
      </c>
      <c r="R37">
        <f>O37+P37+Q37</f>
      </c>
      <c r="S37" t="str">
        <v>Petugas Kebersihan MALOKU</v>
      </c>
      <c r="T37" t="str">
        <v>Data Resmi Oktober 2026</v>
      </c>
    </row>
    <row r="38">
      <c r="A38">
        <v>37</v>
      </c>
      <c r="B38" t="str">
        <v>2026-10-04</v>
      </c>
      <c r="C38" t="str">
        <v>73.71.01.1007</v>
      </c>
      <c r="D38" t="str">
        <v>Kelurahan Mangkura</v>
      </c>
      <c r="E38">
        <v>48</v>
      </c>
      <c r="F38">
        <v>34</v>
      </c>
      <c r="G38">
        <v>26</v>
      </c>
      <c r="H38">
        <v>17</v>
      </c>
      <c r="I38">
        <v>6</v>
      </c>
      <c r="J38">
        <v>5</v>
      </c>
      <c r="K38">
        <v>32</v>
      </c>
      <c r="L38">
        <v>21</v>
      </c>
      <c r="M38" t="str">
        <v>Malalengga (30Kg), Abd. Rahman (40Kg)</v>
      </c>
      <c r="N38">
        <v>70</v>
      </c>
      <c r="O38">
        <f>E38+G38+I38+K38</f>
      </c>
      <c r="P38">
        <f>F38+H38+J38+L38</f>
      </c>
      <c r="Q38">
        <f>N38</f>
      </c>
      <c r="R38">
        <f>O38+P38+Q38</f>
      </c>
      <c r="S38" t="str">
        <v>Petugas Kebersihan MANGKURA</v>
      </c>
      <c r="T38" t="str">
        <v>Data Resmi Oktober 2026</v>
      </c>
    </row>
    <row r="39">
      <c r="A39">
        <v>38</v>
      </c>
      <c r="B39" t="str">
        <v>2026-10-04</v>
      </c>
      <c r="C39" t="str">
        <v>73.71.01.1008</v>
      </c>
      <c r="D39" t="str">
        <v>Kelurahan Pisang Selatan</v>
      </c>
      <c r="E39">
        <v>9</v>
      </c>
      <c r="F39">
        <v>1</v>
      </c>
      <c r="G39">
        <v>5</v>
      </c>
      <c r="H39">
        <v>0</v>
      </c>
      <c r="I39">
        <v>1</v>
      </c>
      <c r="J39">
        <v>0</v>
      </c>
      <c r="K39">
        <v>5</v>
      </c>
      <c r="L39">
        <v>0</v>
      </c>
      <c r="M39" t="str">
        <v>-</v>
      </c>
      <c r="N39">
        <v>0</v>
      </c>
      <c r="O39">
        <f>E39+G39+I39+K39</f>
      </c>
      <c r="P39">
        <f>F39+H39+J39+L39</f>
      </c>
      <c r="Q39">
        <f>N39</f>
      </c>
      <c r="R39">
        <f>O39+P39+Q39</f>
      </c>
      <c r="S39" t="str">
        <v>Petugas Kebersihan PISANG SELATAN</v>
      </c>
      <c r="T39" t="str">
        <v>Data Resmi Oktober 2026</v>
      </c>
    </row>
    <row r="40">
      <c r="A40">
        <v>39</v>
      </c>
      <c r="B40" t="str">
        <v>2026-10-04</v>
      </c>
      <c r="C40" t="str">
        <v>73.71.01.1009</v>
      </c>
      <c r="D40" t="str">
        <v>Kelurahan Pisang Utara</v>
      </c>
      <c r="E40">
        <v>3</v>
      </c>
      <c r="F40">
        <v>18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tr">
        <v>-</v>
      </c>
      <c r="N40">
        <v>0</v>
      </c>
      <c r="O40">
        <f>E40+G40+I40+K40</f>
      </c>
      <c r="P40">
        <f>F40+H40+J40+L40</f>
      </c>
      <c r="Q40">
        <f>N40</f>
      </c>
      <c r="R40">
        <f>O40+P40+Q40</f>
      </c>
      <c r="S40" t="str">
        <v>Petugas Kebersihan PISANG UTARA</v>
      </c>
      <c r="T40" t="str">
        <v>Data Resmi Oktober 2026</v>
      </c>
    </row>
    <row r="41">
      <c r="A41">
        <v>40</v>
      </c>
      <c r="B41" t="str">
        <v>2026-10-04</v>
      </c>
      <c r="C41" t="str">
        <v>73.71.01.1010</v>
      </c>
      <c r="D41" t="str">
        <v>Kelurahan Sawerigading</v>
      </c>
      <c r="E41">
        <v>25</v>
      </c>
      <c r="F41">
        <v>2</v>
      </c>
      <c r="G41">
        <v>0</v>
      </c>
      <c r="H41">
        <v>0</v>
      </c>
      <c r="I41">
        <v>0</v>
      </c>
      <c r="J41">
        <v>0</v>
      </c>
      <c r="K41">
        <v>117</v>
      </c>
      <c r="L41">
        <v>0</v>
      </c>
      <c r="M41" t="str">
        <v>Nurdin Aco (39Kg)</v>
      </c>
      <c r="N41">
        <v>39</v>
      </c>
      <c r="O41">
        <f>E41+G41+I41+K41</f>
      </c>
      <c r="P41">
        <f>F41+H41+J41+L41</f>
      </c>
      <c r="Q41">
        <f>N41</f>
      </c>
      <c r="R41">
        <f>O41+P41+Q41</f>
      </c>
      <c r="S41" t="str">
        <v>Petugas Kebersihan SAWERIGADING</v>
      </c>
      <c r="T41" t="str">
        <v>Data Resmi Oktober 2026</v>
      </c>
    </row>
    <row r="42">
      <c r="A42">
        <v>41</v>
      </c>
      <c r="B42" t="str">
        <v>2026-10-05</v>
      </c>
      <c r="C42" t="str">
        <v>73.71.01.1001</v>
      </c>
      <c r="D42" t="str">
        <v>Kelurahan Baru</v>
      </c>
      <c r="E42">
        <v>161</v>
      </c>
      <c r="F42">
        <v>720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>Musliadi (43Kg)</v>
      </c>
      <c r="N42">
        <v>43</v>
      </c>
      <c r="O42">
        <f>E42+G42+I42+K42</f>
      </c>
      <c r="P42">
        <f>F42+H42+J42+L42</f>
      </c>
      <c r="Q42">
        <f>N42</f>
      </c>
      <c r="R42">
        <f>O42+P42+Q42</f>
      </c>
      <c r="S42" t="str">
        <v>Petugas Kebersihan BARU</v>
      </c>
      <c r="T42" t="str">
        <v>Data Resmi Oktober 2026</v>
      </c>
    </row>
    <row r="43">
      <c r="A43">
        <v>42</v>
      </c>
      <c r="B43" t="str">
        <v>2026-10-05</v>
      </c>
      <c r="C43" t="str">
        <v>73.71.01.1002</v>
      </c>
      <c r="D43" t="str">
        <v>Kelurahan Bulogading</v>
      </c>
      <c r="E43">
        <v>40</v>
      </c>
      <c r="F43">
        <v>23</v>
      </c>
      <c r="G43">
        <v>11</v>
      </c>
      <c r="H43">
        <v>5</v>
      </c>
      <c r="I43">
        <v>8</v>
      </c>
      <c r="J43">
        <v>4</v>
      </c>
      <c r="K43">
        <v>49</v>
      </c>
      <c r="L43">
        <v>13</v>
      </c>
      <c r="M43" t="str">
        <v>Ansu (44Kg), Awal Wahid (34Kg)</v>
      </c>
      <c r="N43">
        <v>78</v>
      </c>
      <c r="O43">
        <f>E43+G43+I43+K43</f>
      </c>
      <c r="P43">
        <f>F43+H43+J43+L43</f>
      </c>
      <c r="Q43">
        <f>N43</f>
      </c>
      <c r="R43">
        <f>O43+P43+Q43</f>
      </c>
      <c r="S43" t="str">
        <v>Petugas Kebersihan BULOGADING</v>
      </c>
      <c r="T43" t="str">
        <v>Data Resmi Oktober 2026</v>
      </c>
    </row>
    <row r="44">
      <c r="A44">
        <v>43</v>
      </c>
      <c r="B44" t="str">
        <v>2026-10-05</v>
      </c>
      <c r="C44" t="str">
        <v>73.71.01.1003</v>
      </c>
      <c r="D44" t="str">
        <v>Kelurahan Lae-Lae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tr">
        <v>-</v>
      </c>
      <c r="N44">
        <v>0</v>
      </c>
      <c r="O44">
        <f>E44+G44+I44+K44</f>
      </c>
      <c r="P44">
        <f>F44+H44+J44+L44</f>
      </c>
      <c r="Q44">
        <f>N44</f>
      </c>
      <c r="R44">
        <f>O44+P44+Q44</f>
      </c>
      <c r="S44" t="str">
        <v>Petugas Kebersihan LAE-LAE</v>
      </c>
      <c r="T44" t="str">
        <v>Data Resmi Oktober 2026</v>
      </c>
    </row>
    <row r="45">
      <c r="A45">
        <v>44</v>
      </c>
      <c r="B45" t="str">
        <v>2026-10-05</v>
      </c>
      <c r="C45" t="str">
        <v>73.71.01.1004</v>
      </c>
      <c r="D45" t="str">
        <v>Kelurahan Lajangiru</v>
      </c>
      <c r="E45">
        <v>4</v>
      </c>
      <c r="F45">
        <v>0</v>
      </c>
      <c r="G45">
        <v>5</v>
      </c>
      <c r="H45">
        <v>0</v>
      </c>
      <c r="I45">
        <v>4</v>
      </c>
      <c r="J45">
        <v>0</v>
      </c>
      <c r="K45">
        <v>10</v>
      </c>
      <c r="L45">
        <v>0</v>
      </c>
      <c r="M45" t="str">
        <v>-</v>
      </c>
      <c r="N45">
        <v>0</v>
      </c>
      <c r="O45">
        <f>E45+G45+I45+K45</f>
      </c>
      <c r="P45">
        <f>F45+H45+J45+L45</f>
      </c>
      <c r="Q45">
        <f>N45</f>
      </c>
      <c r="R45">
        <f>O45+P45+Q45</f>
      </c>
      <c r="S45" t="str">
        <v>Petugas Kebersihan LAJANGIRU</v>
      </c>
      <c r="T45" t="str">
        <v>Data Resmi Oktober 2026</v>
      </c>
    </row>
    <row r="46">
      <c r="A46">
        <v>45</v>
      </c>
      <c r="B46" t="str">
        <v>2026-10-05</v>
      </c>
      <c r="C46" t="str">
        <v>73.71.01.1005</v>
      </c>
      <c r="D46" t="str">
        <v>Kelurahan Losari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  <c r="K46">
        <v>67</v>
      </c>
      <c r="L46">
        <v>0</v>
      </c>
      <c r="M46" t="str">
        <v>Hasrul (25Kg)</v>
      </c>
      <c r="N46">
        <v>25</v>
      </c>
      <c r="O46">
        <f>E46+G46+I46+K46</f>
      </c>
      <c r="P46">
        <f>F46+H46+J46+L46</f>
      </c>
      <c r="Q46">
        <f>N46</f>
      </c>
      <c r="R46">
        <f>O46+P46+Q46</f>
      </c>
      <c r="S46" t="str">
        <v>Petugas Kebersihan LOSARI</v>
      </c>
      <c r="T46" t="str">
        <v>Data Resmi Oktober 2026</v>
      </c>
    </row>
    <row r="47">
      <c r="A47">
        <v>46</v>
      </c>
      <c r="B47" t="str">
        <v>2026-10-05</v>
      </c>
      <c r="C47" t="str">
        <v>73.71.01.1006</v>
      </c>
      <c r="D47" t="str">
        <v>Kelurahan Maloku</v>
      </c>
      <c r="E47">
        <v>14</v>
      </c>
      <c r="F47">
        <v>20</v>
      </c>
      <c r="G47">
        <v>0</v>
      </c>
      <c r="H47">
        <v>0</v>
      </c>
      <c r="I47">
        <v>4</v>
      </c>
      <c r="J47">
        <v>5</v>
      </c>
      <c r="K47">
        <v>8</v>
      </c>
      <c r="L47">
        <v>7</v>
      </c>
      <c r="M47" t="str">
        <v>Erwin (47Kg), Samsir (44Kg)</v>
      </c>
      <c r="N47">
        <v>91</v>
      </c>
      <c r="O47">
        <f>E47+G47+I47+K47</f>
      </c>
      <c r="P47">
        <f>F47+H47+J47+L47</f>
      </c>
      <c r="Q47">
        <f>N47</f>
      </c>
      <c r="R47">
        <f>O47+P47+Q47</f>
      </c>
      <c r="S47" t="str">
        <v>Petugas Kebersihan MALOKU</v>
      </c>
      <c r="T47" t="str">
        <v>Data Resmi Oktober 2026</v>
      </c>
    </row>
    <row r="48">
      <c r="A48">
        <v>47</v>
      </c>
      <c r="B48" t="str">
        <v>2026-10-05</v>
      </c>
      <c r="C48" t="str">
        <v>73.71.01.1007</v>
      </c>
      <c r="D48" t="str">
        <v>Kelurahan Mangkura</v>
      </c>
      <c r="E48">
        <v>41</v>
      </c>
      <c r="F48">
        <v>29</v>
      </c>
      <c r="G48">
        <v>22</v>
      </c>
      <c r="H48">
        <v>15</v>
      </c>
      <c r="I48">
        <v>5</v>
      </c>
      <c r="J48">
        <v>4</v>
      </c>
      <c r="K48">
        <v>27</v>
      </c>
      <c r="L48">
        <v>18</v>
      </c>
      <c r="M48" t="str">
        <v>Malalengga (26Kg), Abd. Rahman (34Kg)</v>
      </c>
      <c r="N48">
        <v>60</v>
      </c>
      <c r="O48">
        <f>E48+G48+I48+K48</f>
      </c>
      <c r="P48">
        <f>F48+H48+J48+L48</f>
      </c>
      <c r="Q48">
        <f>N48</f>
      </c>
      <c r="R48">
        <f>O48+P48+Q48</f>
      </c>
      <c r="S48" t="str">
        <v>Petugas Kebersihan MANGKURA</v>
      </c>
      <c r="T48" t="str">
        <v>Data Resmi Oktober 2026</v>
      </c>
    </row>
    <row r="49">
      <c r="A49">
        <v>48</v>
      </c>
      <c r="B49" t="str">
        <v>2026-10-05</v>
      </c>
      <c r="C49" t="str">
        <v>73.71.01.1008</v>
      </c>
      <c r="D49" t="str">
        <v>Kelurahan Pisang Selatan</v>
      </c>
      <c r="E49">
        <v>8</v>
      </c>
      <c r="F49">
        <v>0</v>
      </c>
      <c r="G49">
        <v>4</v>
      </c>
      <c r="H49">
        <v>0</v>
      </c>
      <c r="I49">
        <v>1</v>
      </c>
      <c r="J49">
        <v>0</v>
      </c>
      <c r="K49">
        <v>4</v>
      </c>
      <c r="L49">
        <v>0</v>
      </c>
      <c r="M49" t="str">
        <v>-</v>
      </c>
      <c r="N49">
        <v>0</v>
      </c>
      <c r="O49">
        <f>E49+G49+I49+K49</f>
      </c>
      <c r="P49">
        <f>F49+H49+J49+L49</f>
      </c>
      <c r="Q49">
        <f>N49</f>
      </c>
      <c r="R49">
        <f>O49+P49+Q49</f>
      </c>
      <c r="S49" t="str">
        <v>Petugas Kebersihan PISANG SELATAN</v>
      </c>
      <c r="T49" t="str">
        <v>Data Resmi Oktober 2026</v>
      </c>
    </row>
    <row r="50">
      <c r="A50">
        <v>49</v>
      </c>
      <c r="B50" t="str">
        <v>2026-10-05</v>
      </c>
      <c r="C50" t="str">
        <v>73.71.01.1009</v>
      </c>
      <c r="D50" t="str">
        <v>Kelurahan Pisang Utara</v>
      </c>
      <c r="E50">
        <v>2</v>
      </c>
      <c r="F50">
        <v>15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>-</v>
      </c>
      <c r="N50">
        <v>0</v>
      </c>
      <c r="O50">
        <f>E50+G50+I50+K50</f>
      </c>
      <c r="P50">
        <f>F50+H50+J50+L50</f>
      </c>
      <c r="Q50">
        <f>N50</f>
      </c>
      <c r="R50">
        <f>O50+P50+Q50</f>
      </c>
      <c r="S50" t="str">
        <v>Petugas Kebersihan PISANG UTARA</v>
      </c>
      <c r="T50" t="str">
        <v>Data Resmi Oktober 2026</v>
      </c>
    </row>
    <row r="51">
      <c r="A51">
        <v>50</v>
      </c>
      <c r="B51" t="str">
        <v>2026-10-05</v>
      </c>
      <c r="C51" t="str">
        <v>73.71.01.1010</v>
      </c>
      <c r="D51" t="str">
        <v>Kelurahan Sawerigading</v>
      </c>
      <c r="E51">
        <v>22</v>
      </c>
      <c r="F51">
        <v>2</v>
      </c>
      <c r="G51">
        <v>0</v>
      </c>
      <c r="H51">
        <v>0</v>
      </c>
      <c r="I51">
        <v>0</v>
      </c>
      <c r="J51">
        <v>0</v>
      </c>
      <c r="K51">
        <v>99</v>
      </c>
      <c r="L51">
        <v>0</v>
      </c>
      <c r="M51" t="str">
        <v>Nurdin Aco (33Kg)</v>
      </c>
      <c r="N51">
        <v>33</v>
      </c>
      <c r="O51">
        <f>E51+G51+I51+K51</f>
      </c>
      <c r="P51">
        <f>F51+H51+J51+L51</f>
      </c>
      <c r="Q51">
        <f>N51</f>
      </c>
      <c r="R51">
        <f>O51+P51+Q51</f>
      </c>
      <c r="S51" t="str">
        <v>Petugas Kebersihan SAWERIGADING</v>
      </c>
      <c r="T51" t="str">
        <v>Data Resmi Oktober 2026</v>
      </c>
    </row>
    <row r="52">
      <c r="A52">
        <v>51</v>
      </c>
      <c r="B52" t="str">
        <v>2026-10-06</v>
      </c>
      <c r="C52" t="str">
        <v>73.71.01.1001</v>
      </c>
      <c r="D52" t="str">
        <v>Kelurahan Baru</v>
      </c>
      <c r="E52">
        <v>154</v>
      </c>
      <c r="F52">
        <v>689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>Musliadi (41Kg)</v>
      </c>
      <c r="N52">
        <v>41</v>
      </c>
      <c r="O52">
        <f>E52+G52+I52+K52</f>
      </c>
      <c r="P52">
        <f>F52+H52+J52+L52</f>
      </c>
      <c r="Q52">
        <f>N52</f>
      </c>
      <c r="R52">
        <f>O52+P52+Q52</f>
      </c>
      <c r="S52" t="str">
        <v>Petugas Kebersihan BARU</v>
      </c>
      <c r="T52" t="str">
        <v>Data Resmi Oktober 2026</v>
      </c>
    </row>
    <row r="53">
      <c r="A53">
        <v>52</v>
      </c>
      <c r="B53" t="str">
        <v>2026-10-06</v>
      </c>
      <c r="C53" t="str">
        <v>73.71.01.1002</v>
      </c>
      <c r="D53" t="str">
        <v>Kelurahan Bulogading</v>
      </c>
      <c r="E53">
        <v>38</v>
      </c>
      <c r="F53">
        <v>22</v>
      </c>
      <c r="G53">
        <v>11</v>
      </c>
      <c r="H53">
        <v>5</v>
      </c>
      <c r="I53">
        <v>8</v>
      </c>
      <c r="J53">
        <v>4</v>
      </c>
      <c r="K53">
        <v>47</v>
      </c>
      <c r="L53">
        <v>12</v>
      </c>
      <c r="M53" t="str">
        <v>Ansu (42Kg), Awal Wahid (32Kg)</v>
      </c>
      <c r="N53">
        <v>74</v>
      </c>
      <c r="O53">
        <f>E53+G53+I53+K53</f>
      </c>
      <c r="P53">
        <f>F53+H53+J53+L53</f>
      </c>
      <c r="Q53">
        <f>N53</f>
      </c>
      <c r="R53">
        <f>O53+P53+Q53</f>
      </c>
      <c r="S53" t="str">
        <v>Petugas Kebersihan BULOGADING</v>
      </c>
      <c r="T53" t="str">
        <v>Data Resmi Oktober 2026</v>
      </c>
    </row>
    <row r="54">
      <c r="A54">
        <v>53</v>
      </c>
      <c r="B54" t="str">
        <v>2026-10-06</v>
      </c>
      <c r="C54" t="str">
        <v>73.71.01.1003</v>
      </c>
      <c r="D54" t="str">
        <v>Kelurahan Lae-Lae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tr">
        <v>-</v>
      </c>
      <c r="N54">
        <v>0</v>
      </c>
      <c r="O54">
        <f>E54+G54+I54+K54</f>
      </c>
      <c r="P54">
        <f>F54+H54+J54+L54</f>
      </c>
      <c r="Q54">
        <f>N54</f>
      </c>
      <c r="R54">
        <f>O54+P54+Q54</f>
      </c>
      <c r="S54" t="str">
        <v>Petugas Kebersihan LAE-LAE</v>
      </c>
      <c r="T54" t="str">
        <v>Data Resmi Oktober 2026</v>
      </c>
    </row>
    <row r="55">
      <c r="A55">
        <v>54</v>
      </c>
      <c r="B55" t="str">
        <v>2026-10-06</v>
      </c>
      <c r="C55" t="str">
        <v>73.71.01.1004</v>
      </c>
      <c r="D55" t="str">
        <v>Kelurahan Lajangiru</v>
      </c>
      <c r="E55">
        <v>4</v>
      </c>
      <c r="F55">
        <v>0</v>
      </c>
      <c r="G55">
        <v>5</v>
      </c>
      <c r="H55">
        <v>0</v>
      </c>
      <c r="I55">
        <v>4</v>
      </c>
      <c r="J55">
        <v>0</v>
      </c>
      <c r="K55">
        <v>9</v>
      </c>
      <c r="L55">
        <v>0</v>
      </c>
      <c r="M55" t="str">
        <v>-</v>
      </c>
      <c r="N55">
        <v>0</v>
      </c>
      <c r="O55">
        <f>E55+G55+I55+K55</f>
      </c>
      <c r="P55">
        <f>F55+H55+J55+L55</f>
      </c>
      <c r="Q55">
        <f>N55</f>
      </c>
      <c r="R55">
        <f>O55+P55+Q55</f>
      </c>
      <c r="S55" t="str">
        <v>Petugas Kebersihan LAJANGIRU</v>
      </c>
      <c r="T55" t="str">
        <v>Data Resmi Oktober 2026</v>
      </c>
    </row>
    <row r="56">
      <c r="A56">
        <v>55</v>
      </c>
      <c r="B56" t="str">
        <v>2026-10-06</v>
      </c>
      <c r="C56" t="str">
        <v>73.71.01.1005</v>
      </c>
      <c r="D56" t="str">
        <v>Kelurahan Losari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  <c r="K56">
        <v>64</v>
      </c>
      <c r="L56">
        <v>0</v>
      </c>
      <c r="M56" t="str">
        <v>Hasrul (23Kg)</v>
      </c>
      <c r="N56">
        <v>23</v>
      </c>
      <c r="O56">
        <f>E56+G56+I56+K56</f>
      </c>
      <c r="P56">
        <f>F56+H56+J56+L56</f>
      </c>
      <c r="Q56">
        <f>N56</f>
      </c>
      <c r="R56">
        <f>O56+P56+Q56</f>
      </c>
      <c r="S56" t="str">
        <v>Petugas Kebersihan LOSARI</v>
      </c>
      <c r="T56" t="str">
        <v>Data Resmi Oktober 2026</v>
      </c>
    </row>
    <row r="57">
      <c r="A57">
        <v>56</v>
      </c>
      <c r="B57" t="str">
        <v>2026-10-06</v>
      </c>
      <c r="C57" t="str">
        <v>73.71.01.1006</v>
      </c>
      <c r="D57" t="str">
        <v>Kelurahan Maloku</v>
      </c>
      <c r="E57">
        <v>14</v>
      </c>
      <c r="F57">
        <v>19</v>
      </c>
      <c r="G57">
        <v>0</v>
      </c>
      <c r="H57">
        <v>0</v>
      </c>
      <c r="I57">
        <v>3</v>
      </c>
      <c r="J57">
        <v>5</v>
      </c>
      <c r="K57">
        <v>8</v>
      </c>
      <c r="L57">
        <v>7</v>
      </c>
      <c r="M57" t="str">
        <v>Erwin (45Kg), Samsir (42Kg)</v>
      </c>
      <c r="N57">
        <v>87</v>
      </c>
      <c r="O57">
        <f>E57+G57+I57+K57</f>
      </c>
      <c r="P57">
        <f>F57+H57+J57+L57</f>
      </c>
      <c r="Q57">
        <f>N57</f>
      </c>
      <c r="R57">
        <f>O57+P57+Q57</f>
      </c>
      <c r="S57" t="str">
        <v>Petugas Kebersihan MALOKU</v>
      </c>
      <c r="T57" t="str">
        <v>Data Resmi Oktober 2026</v>
      </c>
    </row>
    <row r="58">
      <c r="A58">
        <v>57</v>
      </c>
      <c r="B58" t="str">
        <v>2026-10-06</v>
      </c>
      <c r="C58" t="str">
        <v>73.71.01.1007</v>
      </c>
      <c r="D58" t="str">
        <v>Kelurahan Mangkura</v>
      </c>
      <c r="E58">
        <v>39</v>
      </c>
      <c r="F58">
        <v>28</v>
      </c>
      <c r="G58">
        <v>21</v>
      </c>
      <c r="H58">
        <v>14</v>
      </c>
      <c r="I58">
        <v>5</v>
      </c>
      <c r="J58">
        <v>4</v>
      </c>
      <c r="K58">
        <v>26</v>
      </c>
      <c r="L58">
        <v>17</v>
      </c>
      <c r="M58" t="str">
        <v>Malalengga (25Kg), Abd. Rahman (33Kg)</v>
      </c>
      <c r="N58">
        <v>58</v>
      </c>
      <c r="O58">
        <f>E58+G58+I58+K58</f>
      </c>
      <c r="P58">
        <f>F58+H58+J58+L58</f>
      </c>
      <c r="Q58">
        <f>N58</f>
      </c>
      <c r="R58">
        <f>O58+P58+Q58</f>
      </c>
      <c r="S58" t="str">
        <v>Petugas Kebersihan MANGKURA</v>
      </c>
      <c r="T58" t="str">
        <v>Data Resmi Oktober 2026</v>
      </c>
    </row>
    <row r="59">
      <c r="A59">
        <v>58</v>
      </c>
      <c r="B59" t="str">
        <v>2026-10-06</v>
      </c>
      <c r="C59" t="str">
        <v>73.71.01.1008</v>
      </c>
      <c r="D59" t="str">
        <v>Kelurahan Pisang Selatan</v>
      </c>
      <c r="E59">
        <v>7</v>
      </c>
      <c r="F59">
        <v>0</v>
      </c>
      <c r="G59">
        <v>4</v>
      </c>
      <c r="H59">
        <v>0</v>
      </c>
      <c r="I59">
        <v>1</v>
      </c>
      <c r="J59">
        <v>0</v>
      </c>
      <c r="K59">
        <v>4</v>
      </c>
      <c r="L59">
        <v>0</v>
      </c>
      <c r="M59" t="str">
        <v>-</v>
      </c>
      <c r="N59">
        <v>0</v>
      </c>
      <c r="O59">
        <f>E59+G59+I59+K59</f>
      </c>
      <c r="P59">
        <f>F59+H59+J59+L59</f>
      </c>
      <c r="Q59">
        <f>N59</f>
      </c>
      <c r="R59">
        <f>O59+P59+Q59</f>
      </c>
      <c r="S59" t="str">
        <v>Petugas Kebersihan PISANG SELATAN</v>
      </c>
      <c r="T59" t="str">
        <v>Data Resmi Oktober 2026</v>
      </c>
    </row>
    <row r="60">
      <c r="A60">
        <v>59</v>
      </c>
      <c r="B60" t="str">
        <v>2026-10-06</v>
      </c>
      <c r="C60" t="str">
        <v>73.71.01.1009</v>
      </c>
      <c r="D60" t="str">
        <v>Kelurahan Pisang Utara</v>
      </c>
      <c r="E60">
        <v>2</v>
      </c>
      <c r="F60">
        <v>15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tr">
        <v>-</v>
      </c>
      <c r="N60">
        <v>0</v>
      </c>
      <c r="O60">
        <f>E60+G60+I60+K60</f>
      </c>
      <c r="P60">
        <f>F60+H60+J60+L60</f>
      </c>
      <c r="Q60">
        <f>N60</f>
      </c>
      <c r="R60">
        <f>O60+P60+Q60</f>
      </c>
      <c r="S60" t="str">
        <v>Petugas Kebersihan PISANG UTARA</v>
      </c>
      <c r="T60" t="str">
        <v>Data Resmi Oktober 2026</v>
      </c>
    </row>
    <row r="61">
      <c r="A61">
        <v>60</v>
      </c>
      <c r="B61" t="str">
        <v>2026-10-06</v>
      </c>
      <c r="C61" t="str">
        <v>73.71.01.1010</v>
      </c>
      <c r="D61" t="str">
        <v>Kelurahan Sawerigading</v>
      </c>
      <c r="E61">
        <v>21</v>
      </c>
      <c r="F61">
        <v>2</v>
      </c>
      <c r="G61">
        <v>0</v>
      </c>
      <c r="H61">
        <v>0</v>
      </c>
      <c r="I61">
        <v>0</v>
      </c>
      <c r="J61">
        <v>0</v>
      </c>
      <c r="K61">
        <v>95</v>
      </c>
      <c r="L61">
        <v>0</v>
      </c>
      <c r="M61" t="str">
        <v>Nurdin Aco (32Kg)</v>
      </c>
      <c r="N61">
        <v>32</v>
      </c>
      <c r="O61">
        <f>E61+G61+I61+K61</f>
      </c>
      <c r="P61">
        <f>F61+H61+J61+L61</f>
      </c>
      <c r="Q61">
        <f>N61</f>
      </c>
      <c r="R61">
        <f>O61+P61+Q61</f>
      </c>
      <c r="S61" t="str">
        <v>Petugas Kebersihan SAWERIGADING</v>
      </c>
      <c r="T61" t="str">
        <v>Data Resmi Oktober 2026</v>
      </c>
    </row>
    <row r="62">
      <c r="A62">
        <v>61</v>
      </c>
      <c r="B62" t="str">
        <v>2026-10-07</v>
      </c>
      <c r="C62" t="str">
        <v>73.71.01.1001</v>
      </c>
      <c r="D62" t="str">
        <v>Kelurahan Baru</v>
      </c>
      <c r="E62">
        <v>176</v>
      </c>
      <c r="F62">
        <v>788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tr">
        <v>Musliadi (47Kg)</v>
      </c>
      <c r="N62">
        <v>47</v>
      </c>
      <c r="O62">
        <f>E62+G62+I62+K62</f>
      </c>
      <c r="P62">
        <f>F62+H62+J62+L62</f>
      </c>
      <c r="Q62">
        <f>N62</f>
      </c>
      <c r="R62">
        <f>O62+P62+Q62</f>
      </c>
      <c r="S62" t="str">
        <v>Petugas Kebersihan BARU</v>
      </c>
      <c r="T62" t="str">
        <v>Data Resmi Oktober 2026</v>
      </c>
    </row>
    <row r="63">
      <c r="A63">
        <v>62</v>
      </c>
      <c r="B63" t="str">
        <v>2026-10-07</v>
      </c>
      <c r="C63" t="str">
        <v>73.71.01.1002</v>
      </c>
      <c r="D63" t="str">
        <v>Kelurahan Bulogading</v>
      </c>
      <c r="E63">
        <v>43</v>
      </c>
      <c r="F63">
        <v>25</v>
      </c>
      <c r="G63">
        <v>12</v>
      </c>
      <c r="H63">
        <v>6</v>
      </c>
      <c r="I63">
        <v>9</v>
      </c>
      <c r="J63">
        <v>5</v>
      </c>
      <c r="K63">
        <v>54</v>
      </c>
      <c r="L63">
        <v>14</v>
      </c>
      <c r="M63" t="str">
        <v>Ansu (48Kg), Awal Wahid (37Kg)</v>
      </c>
      <c r="N63">
        <v>85</v>
      </c>
      <c r="O63">
        <f>E63+G63+I63+K63</f>
      </c>
      <c r="P63">
        <f>F63+H63+J63+L63</f>
      </c>
      <c r="Q63">
        <f>N63</f>
      </c>
      <c r="R63">
        <f>O63+P63+Q63</f>
      </c>
      <c r="S63" t="str">
        <v>Petugas Kebersihan BULOGADING</v>
      </c>
      <c r="T63" t="str">
        <v>Data Resmi Oktober 2026</v>
      </c>
    </row>
    <row r="64">
      <c r="A64">
        <v>63</v>
      </c>
      <c r="B64" t="str">
        <v>2026-10-07</v>
      </c>
      <c r="C64" t="str">
        <v>73.71.01.1003</v>
      </c>
      <c r="D64" t="str">
        <v>Kelurahan Lae-Lae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tr">
        <v>-</v>
      </c>
      <c r="N64">
        <v>0</v>
      </c>
      <c r="O64">
        <f>E64+G64+I64+K64</f>
      </c>
      <c r="P64">
        <f>F64+H64+J64+L64</f>
      </c>
      <c r="Q64">
        <f>N64</f>
      </c>
      <c r="R64">
        <f>O64+P64+Q64</f>
      </c>
      <c r="S64" t="str">
        <v>Petugas Kebersihan LAE-LAE</v>
      </c>
      <c r="T64" t="str">
        <v>Data Resmi Oktober 2026</v>
      </c>
    </row>
    <row r="65">
      <c r="A65">
        <v>64</v>
      </c>
      <c r="B65" t="str">
        <v>2026-10-07</v>
      </c>
      <c r="C65" t="str">
        <v>73.71.01.1004</v>
      </c>
      <c r="D65" t="str">
        <v>Kelurahan Lajangiru</v>
      </c>
      <c r="E65">
        <v>5</v>
      </c>
      <c r="F65">
        <v>0</v>
      </c>
      <c r="G65">
        <v>6</v>
      </c>
      <c r="H65">
        <v>0</v>
      </c>
      <c r="I65">
        <v>4</v>
      </c>
      <c r="J65">
        <v>0</v>
      </c>
      <c r="K65">
        <v>11</v>
      </c>
      <c r="L65">
        <v>0</v>
      </c>
      <c r="M65" t="str">
        <v>-</v>
      </c>
      <c r="N65">
        <v>0</v>
      </c>
      <c r="O65">
        <f>E65+G65+I65+K65</f>
      </c>
      <c r="P65">
        <f>F65+H65+J65+L65</f>
      </c>
      <c r="Q65">
        <f>N65</f>
      </c>
      <c r="R65">
        <f>O65+P65+Q65</f>
      </c>
      <c r="S65" t="str">
        <v>Petugas Kebersihan LAJANGIRU</v>
      </c>
      <c r="T65" t="str">
        <v>Data Resmi Oktober 2026</v>
      </c>
    </row>
    <row r="66">
      <c r="A66">
        <v>65</v>
      </c>
      <c r="B66" t="str">
        <v>2026-10-07</v>
      </c>
      <c r="C66" t="str">
        <v>73.71.01.1005</v>
      </c>
      <c r="D66" t="str">
        <v>Kelurahan Losari</v>
      </c>
      <c r="E66">
        <v>3</v>
      </c>
      <c r="F66">
        <v>0</v>
      </c>
      <c r="G66">
        <v>0</v>
      </c>
      <c r="H66">
        <v>0</v>
      </c>
      <c r="I66">
        <v>0</v>
      </c>
      <c r="J66">
        <v>0</v>
      </c>
      <c r="K66">
        <v>73</v>
      </c>
      <c r="L66">
        <v>0</v>
      </c>
      <c r="M66" t="str">
        <v>Hasrul (27Kg)</v>
      </c>
      <c r="N66">
        <v>27</v>
      </c>
      <c r="O66">
        <f>E66+G66+I66+K66</f>
      </c>
      <c r="P66">
        <f>F66+H66+J66+L66</f>
      </c>
      <c r="Q66">
        <f>N66</f>
      </c>
      <c r="R66">
        <f>O66+P66+Q66</f>
      </c>
      <c r="S66" t="str">
        <v>Petugas Kebersihan LOSARI</v>
      </c>
      <c r="T66" t="str">
        <v>Data Resmi Oktober 2026</v>
      </c>
    </row>
    <row r="67">
      <c r="A67">
        <v>66</v>
      </c>
      <c r="B67" t="str">
        <v>2026-10-07</v>
      </c>
      <c r="C67" t="str">
        <v>73.71.01.1006</v>
      </c>
      <c r="D67" t="str">
        <v>Kelurahan Maloku</v>
      </c>
      <c r="E67">
        <v>16</v>
      </c>
      <c r="F67">
        <v>22</v>
      </c>
      <c r="G67">
        <v>0</v>
      </c>
      <c r="H67">
        <v>0</v>
      </c>
      <c r="I67">
        <v>4</v>
      </c>
      <c r="J67">
        <v>5</v>
      </c>
      <c r="K67">
        <v>9</v>
      </c>
      <c r="L67">
        <v>8</v>
      </c>
      <c r="M67" t="str">
        <v>Erwin (52Kg), Samsir (49Kg)</v>
      </c>
      <c r="N67">
        <v>101</v>
      </c>
      <c r="O67">
        <f>E67+G67+I67+K67</f>
      </c>
      <c r="P67">
        <f>F67+H67+J67+L67</f>
      </c>
      <c r="Q67">
        <f>N67</f>
      </c>
      <c r="R67">
        <f>O67+P67+Q67</f>
      </c>
      <c r="S67" t="str">
        <v>Petugas Kebersihan MALOKU</v>
      </c>
      <c r="T67" t="str">
        <v>Data Resmi Oktober 2026</v>
      </c>
    </row>
    <row r="68">
      <c r="A68">
        <v>67</v>
      </c>
      <c r="B68" t="str">
        <v>2026-10-07</v>
      </c>
      <c r="C68" t="str">
        <v>73.71.01.1007</v>
      </c>
      <c r="D68" t="str">
        <v>Kelurahan Mangkura</v>
      </c>
      <c r="E68">
        <v>45</v>
      </c>
      <c r="F68">
        <v>32</v>
      </c>
      <c r="G68">
        <v>24</v>
      </c>
      <c r="H68">
        <v>16</v>
      </c>
      <c r="I68">
        <v>6</v>
      </c>
      <c r="J68">
        <v>4</v>
      </c>
      <c r="K68">
        <v>30</v>
      </c>
      <c r="L68">
        <v>20</v>
      </c>
      <c r="M68" t="str">
        <v>Malalengga (28Kg), Abd. Rahman (37Kg)</v>
      </c>
      <c r="N68">
        <v>65</v>
      </c>
      <c r="O68">
        <f>E68+G68+I68+K68</f>
      </c>
      <c r="P68">
        <f>F68+H68+J68+L68</f>
      </c>
      <c r="Q68">
        <f>N68</f>
      </c>
      <c r="R68">
        <f>O68+P68+Q68</f>
      </c>
      <c r="S68" t="str">
        <v>Petugas Kebersihan MANGKURA</v>
      </c>
      <c r="T68" t="str">
        <v>Data Resmi Oktober 2026</v>
      </c>
    </row>
    <row r="69">
      <c r="A69">
        <v>68</v>
      </c>
      <c r="B69" t="str">
        <v>2026-10-07</v>
      </c>
      <c r="C69" t="str">
        <v>73.71.01.1008</v>
      </c>
      <c r="D69" t="str">
        <v>Kelurahan Pisang Selatan</v>
      </c>
      <c r="E69">
        <v>8</v>
      </c>
      <c r="F69">
        <v>0</v>
      </c>
      <c r="G69">
        <v>4</v>
      </c>
      <c r="H69">
        <v>0</v>
      </c>
      <c r="I69">
        <v>1</v>
      </c>
      <c r="J69">
        <v>0</v>
      </c>
      <c r="K69">
        <v>5</v>
      </c>
      <c r="L69">
        <v>0</v>
      </c>
      <c r="M69" t="str">
        <v>-</v>
      </c>
      <c r="N69">
        <v>0</v>
      </c>
      <c r="O69">
        <f>E69+G69+I69+K69</f>
      </c>
      <c r="P69">
        <f>F69+H69+J69+L69</f>
      </c>
      <c r="Q69">
        <f>N69</f>
      </c>
      <c r="R69">
        <f>O69+P69+Q69</f>
      </c>
      <c r="S69" t="str">
        <v>Petugas Kebersihan PISANG SELATAN</v>
      </c>
      <c r="T69" t="str">
        <v>Data Resmi Oktober 2026</v>
      </c>
    </row>
    <row r="70">
      <c r="A70">
        <v>69</v>
      </c>
      <c r="B70" t="str">
        <v>2026-10-07</v>
      </c>
      <c r="C70" t="str">
        <v>73.71.01.1009</v>
      </c>
      <c r="D70" t="str">
        <v>Kelurahan Pisang Utara</v>
      </c>
      <c r="E70">
        <v>3</v>
      </c>
      <c r="F70">
        <v>17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tr">
        <v>-</v>
      </c>
      <c r="N70">
        <v>0</v>
      </c>
      <c r="O70">
        <f>E70+G70+I70+K70</f>
      </c>
      <c r="P70">
        <f>F70+H70+J70+L70</f>
      </c>
      <c r="Q70">
        <f>N70</f>
      </c>
      <c r="R70">
        <f>O70+P70+Q70</f>
      </c>
      <c r="S70" t="str">
        <v>Petugas Kebersihan PISANG UTARA</v>
      </c>
      <c r="T70" t="str">
        <v>Data Resmi Oktober 2026</v>
      </c>
    </row>
    <row r="71">
      <c r="A71">
        <v>70</v>
      </c>
      <c r="B71" t="str">
        <v>2026-10-07</v>
      </c>
      <c r="C71" t="str">
        <v>73.71.01.1010</v>
      </c>
      <c r="D71" t="str">
        <v>Kelurahan Sawerigading</v>
      </c>
      <c r="E71">
        <v>24</v>
      </c>
      <c r="F71">
        <v>2</v>
      </c>
      <c r="G71">
        <v>0</v>
      </c>
      <c r="H71">
        <v>0</v>
      </c>
      <c r="I71">
        <v>0</v>
      </c>
      <c r="J71">
        <v>0</v>
      </c>
      <c r="K71">
        <v>108</v>
      </c>
      <c r="L71">
        <v>0</v>
      </c>
      <c r="M71" t="str">
        <v>Nurdin Aco (36Kg)</v>
      </c>
      <c r="N71">
        <v>36</v>
      </c>
      <c r="O71">
        <f>E71+G71+I71+K71</f>
      </c>
      <c r="P71">
        <f>F71+H71+J71+L71</f>
      </c>
      <c r="Q71">
        <f>N71</f>
      </c>
      <c r="R71">
        <f>O71+P71+Q71</f>
      </c>
      <c r="S71" t="str">
        <v>Petugas Kebersihan SAWERIGADING</v>
      </c>
      <c r="T71" t="str">
        <v>Data Resmi Oktober 2026</v>
      </c>
    </row>
    <row r="72">
      <c r="A72">
        <v>71</v>
      </c>
      <c r="B72" t="str">
        <v>2026-10-08</v>
      </c>
      <c r="C72" t="str">
        <v>73.71.01.1001</v>
      </c>
      <c r="D72" t="str">
        <v>Kelurahan Baru</v>
      </c>
      <c r="E72">
        <v>169</v>
      </c>
      <c r="F72">
        <v>758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tr">
        <v>Musliadi (46Kg)</v>
      </c>
      <c r="N72">
        <v>46</v>
      </c>
      <c r="O72">
        <f>E72+G72+I72+K72</f>
      </c>
      <c r="P72">
        <f>F72+H72+J72+L72</f>
      </c>
      <c r="Q72">
        <f>N72</f>
      </c>
      <c r="R72">
        <f>O72+P72+Q72</f>
      </c>
      <c r="S72" t="str">
        <v>Petugas Kebersihan BARU</v>
      </c>
      <c r="T72" t="str">
        <v>Data Resmi Oktober 2026</v>
      </c>
    </row>
    <row r="73">
      <c r="A73">
        <v>72</v>
      </c>
      <c r="B73" t="str">
        <v>2026-10-08</v>
      </c>
      <c r="C73" t="str">
        <v>73.71.01.1002</v>
      </c>
      <c r="D73" t="str">
        <v>Kelurahan Bulogading</v>
      </c>
      <c r="E73">
        <v>42</v>
      </c>
      <c r="F73">
        <v>24</v>
      </c>
      <c r="G73">
        <v>12</v>
      </c>
      <c r="H73">
        <v>6</v>
      </c>
      <c r="I73">
        <v>8</v>
      </c>
      <c r="J73">
        <v>5</v>
      </c>
      <c r="K73">
        <v>52</v>
      </c>
      <c r="L73">
        <v>13</v>
      </c>
      <c r="M73" t="str">
        <v>Ansu (46Kg), Awal Wahid (36Kg)</v>
      </c>
      <c r="N73">
        <v>82</v>
      </c>
      <c r="O73">
        <f>E73+G73+I73+K73</f>
      </c>
      <c r="P73">
        <f>F73+H73+J73+L73</f>
      </c>
      <c r="Q73">
        <f>N73</f>
      </c>
      <c r="R73">
        <f>O73+P73+Q73</f>
      </c>
      <c r="S73" t="str">
        <v>Petugas Kebersihan BULOGADING</v>
      </c>
      <c r="T73" t="str">
        <v>Data Resmi Oktober 2026</v>
      </c>
    </row>
    <row r="74">
      <c r="A74">
        <v>73</v>
      </c>
      <c r="B74" t="str">
        <v>2026-10-08</v>
      </c>
      <c r="C74" t="str">
        <v>73.71.01.1003</v>
      </c>
      <c r="D74" t="str">
        <v>Kelurahan Lae-Lae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tr">
        <v>-</v>
      </c>
      <c r="N74">
        <v>0</v>
      </c>
      <c r="O74">
        <f>E74+G74+I74+K74</f>
      </c>
      <c r="P74">
        <f>F74+H74+J74+L74</f>
      </c>
      <c r="Q74">
        <f>N74</f>
      </c>
      <c r="R74">
        <f>O74+P74+Q74</f>
      </c>
      <c r="S74" t="str">
        <v>Petugas Kebersihan LAE-LAE</v>
      </c>
      <c r="T74" t="str">
        <v>Data Resmi Oktober 2026</v>
      </c>
    </row>
    <row r="75">
      <c r="A75">
        <v>74</v>
      </c>
      <c r="B75" t="str">
        <v>2026-10-08</v>
      </c>
      <c r="C75" t="str">
        <v>73.71.01.1004</v>
      </c>
      <c r="D75" t="str">
        <v>Kelurahan Lajangiru</v>
      </c>
      <c r="E75">
        <v>4</v>
      </c>
      <c r="F75">
        <v>0</v>
      </c>
      <c r="G75">
        <v>5</v>
      </c>
      <c r="H75">
        <v>0</v>
      </c>
      <c r="I75">
        <v>4</v>
      </c>
      <c r="J75">
        <v>0</v>
      </c>
      <c r="K75">
        <v>10</v>
      </c>
      <c r="L75">
        <v>0</v>
      </c>
      <c r="M75" t="str">
        <v>-</v>
      </c>
      <c r="N75">
        <v>0</v>
      </c>
      <c r="O75">
        <f>E75+G75+I75+K75</f>
      </c>
      <c r="P75">
        <f>F75+H75+J75+L75</f>
      </c>
      <c r="Q75">
        <f>N75</f>
      </c>
      <c r="R75">
        <f>O75+P75+Q75</f>
      </c>
      <c r="S75" t="str">
        <v>Petugas Kebersihan LAJANGIRU</v>
      </c>
      <c r="T75" t="str">
        <v>Data Resmi Oktober 2026</v>
      </c>
    </row>
    <row r="76">
      <c r="A76">
        <v>75</v>
      </c>
      <c r="B76" t="str">
        <v>2026-10-08</v>
      </c>
      <c r="C76" t="str">
        <v>73.71.01.1005</v>
      </c>
      <c r="D76" t="str">
        <v>Kelurahan Losari</v>
      </c>
      <c r="E76">
        <v>3</v>
      </c>
      <c r="F76">
        <v>0</v>
      </c>
      <c r="G76">
        <v>0</v>
      </c>
      <c r="H76">
        <v>0</v>
      </c>
      <c r="I76">
        <v>0</v>
      </c>
      <c r="J76">
        <v>0</v>
      </c>
      <c r="K76">
        <v>71</v>
      </c>
      <c r="L76">
        <v>0</v>
      </c>
      <c r="M76" t="str">
        <v>Hasrul (26Kg)</v>
      </c>
      <c r="N76">
        <v>26</v>
      </c>
      <c r="O76">
        <f>E76+G76+I76+K76</f>
      </c>
      <c r="P76">
        <f>F76+H76+J76+L76</f>
      </c>
      <c r="Q76">
        <f>N76</f>
      </c>
      <c r="R76">
        <f>O76+P76+Q76</f>
      </c>
      <c r="S76" t="str">
        <v>Petugas Kebersihan LOSARI</v>
      </c>
      <c r="T76" t="str">
        <v>Data Resmi Oktober 2026</v>
      </c>
    </row>
    <row r="77">
      <c r="A77">
        <v>76</v>
      </c>
      <c r="B77" t="str">
        <v>2026-10-08</v>
      </c>
      <c r="C77" t="str">
        <v>73.71.01.1006</v>
      </c>
      <c r="D77" t="str">
        <v>Kelurahan Maloku</v>
      </c>
      <c r="E77">
        <v>15</v>
      </c>
      <c r="F77">
        <v>21</v>
      </c>
      <c r="G77">
        <v>0</v>
      </c>
      <c r="H77">
        <v>0</v>
      </c>
      <c r="I77">
        <v>4</v>
      </c>
      <c r="J77">
        <v>5</v>
      </c>
      <c r="K77">
        <v>8</v>
      </c>
      <c r="L77">
        <v>8</v>
      </c>
      <c r="M77" t="str">
        <v>Erwin (50Kg), Samsir (47Kg)</v>
      </c>
      <c r="N77">
        <v>97</v>
      </c>
      <c r="O77">
        <f>E77+G77+I77+K77</f>
      </c>
      <c r="P77">
        <f>F77+H77+J77+L77</f>
      </c>
      <c r="Q77">
        <f>N77</f>
      </c>
      <c r="R77">
        <f>O77+P77+Q77</f>
      </c>
      <c r="S77" t="str">
        <v>Petugas Kebersihan MALOKU</v>
      </c>
      <c r="T77" t="str">
        <v>Data Resmi Oktober 2026</v>
      </c>
    </row>
    <row r="78">
      <c r="A78">
        <v>77</v>
      </c>
      <c r="B78" t="str">
        <v>2026-10-08</v>
      </c>
      <c r="C78" t="str">
        <v>73.71.01.1007</v>
      </c>
      <c r="D78" t="str">
        <v>Kelurahan Mangkura</v>
      </c>
      <c r="E78">
        <v>43</v>
      </c>
      <c r="F78">
        <v>31</v>
      </c>
      <c r="G78">
        <v>23</v>
      </c>
      <c r="H78">
        <v>15</v>
      </c>
      <c r="I78">
        <v>5</v>
      </c>
      <c r="J78">
        <v>4</v>
      </c>
      <c r="K78">
        <v>29</v>
      </c>
      <c r="L78">
        <v>19</v>
      </c>
      <c r="M78" t="str">
        <v>Malalengga (27Kg), Abd. Rahman (36Kg)</v>
      </c>
      <c r="N78">
        <v>63</v>
      </c>
      <c r="O78">
        <f>E78+G78+I78+K78</f>
      </c>
      <c r="P78">
        <f>F78+H78+J78+L78</f>
      </c>
      <c r="Q78">
        <f>N78</f>
      </c>
      <c r="R78">
        <f>O78+P78+Q78</f>
      </c>
      <c r="S78" t="str">
        <v>Petugas Kebersihan MANGKURA</v>
      </c>
      <c r="T78" t="str">
        <v>Data Resmi Oktober 2026</v>
      </c>
    </row>
    <row r="79">
      <c r="A79">
        <v>78</v>
      </c>
      <c r="B79" t="str">
        <v>2026-10-08</v>
      </c>
      <c r="C79" t="str">
        <v>73.71.01.1008</v>
      </c>
      <c r="D79" t="str">
        <v>Kelurahan Pisang Selatan</v>
      </c>
      <c r="E79">
        <v>8</v>
      </c>
      <c r="F79">
        <v>0</v>
      </c>
      <c r="G79">
        <v>4</v>
      </c>
      <c r="H79">
        <v>0</v>
      </c>
      <c r="I79">
        <v>1</v>
      </c>
      <c r="J79">
        <v>0</v>
      </c>
      <c r="K79">
        <v>5</v>
      </c>
      <c r="L79">
        <v>0</v>
      </c>
      <c r="M79" t="str">
        <v>-</v>
      </c>
      <c r="N79">
        <v>0</v>
      </c>
      <c r="O79">
        <f>E79+G79+I79+K79</f>
      </c>
      <c r="P79">
        <f>F79+H79+J79+L79</f>
      </c>
      <c r="Q79">
        <f>N79</f>
      </c>
      <c r="R79">
        <f>O79+P79+Q79</f>
      </c>
      <c r="S79" t="str">
        <v>Petugas Kebersihan PISANG SELATAN</v>
      </c>
      <c r="T79" t="str">
        <v>Data Resmi Oktober 2026</v>
      </c>
    </row>
    <row r="80">
      <c r="A80">
        <v>79</v>
      </c>
      <c r="B80" t="str">
        <v>2026-10-08</v>
      </c>
      <c r="C80" t="str">
        <v>73.71.01.1009</v>
      </c>
      <c r="D80" t="str">
        <v>Kelurahan Pisang Utara</v>
      </c>
      <c r="E80">
        <v>3</v>
      </c>
      <c r="F80">
        <v>16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tr">
        <v>-</v>
      </c>
      <c r="N80">
        <v>0</v>
      </c>
      <c r="O80">
        <f>E80+G80+I80+K80</f>
      </c>
      <c r="P80">
        <f>F80+H80+J80+L80</f>
      </c>
      <c r="Q80">
        <f>N80</f>
      </c>
      <c r="R80">
        <f>O80+P80+Q80</f>
      </c>
      <c r="S80" t="str">
        <v>Petugas Kebersihan PISANG UTARA</v>
      </c>
      <c r="T80" t="str">
        <v>Data Resmi Oktober 2026</v>
      </c>
    </row>
    <row r="81">
      <c r="A81">
        <v>80</v>
      </c>
      <c r="B81" t="str">
        <v>2026-10-08</v>
      </c>
      <c r="C81" t="str">
        <v>73.71.01.1010</v>
      </c>
      <c r="D81" t="str">
        <v>Kelurahan Sawerigading</v>
      </c>
      <c r="E81">
        <v>23</v>
      </c>
      <c r="F81">
        <v>2</v>
      </c>
      <c r="G81">
        <v>0</v>
      </c>
      <c r="H81">
        <v>0</v>
      </c>
      <c r="I81">
        <v>0</v>
      </c>
      <c r="J81">
        <v>0</v>
      </c>
      <c r="K81">
        <v>104</v>
      </c>
      <c r="L81">
        <v>0</v>
      </c>
      <c r="M81" t="str">
        <v>Nurdin Aco (35Kg)</v>
      </c>
      <c r="N81">
        <v>35</v>
      </c>
      <c r="O81">
        <f>E81+G81+I81+K81</f>
      </c>
      <c r="P81">
        <f>F81+H81+J81+L81</f>
      </c>
      <c r="Q81">
        <f>N81</f>
      </c>
      <c r="R81">
        <f>O81+P81+Q81</f>
      </c>
      <c r="S81" t="str">
        <v>Petugas Kebersihan SAWERIGADING</v>
      </c>
      <c r="T81" t="str">
        <v>Data Resmi Oktober 2026</v>
      </c>
    </row>
    <row r="82">
      <c r="A82">
        <v>81</v>
      </c>
      <c r="B82" t="str">
        <v>2026-10-09</v>
      </c>
      <c r="C82" t="str">
        <v>73.71.01.1001</v>
      </c>
      <c r="D82" t="str">
        <v>Kelurahan Baru</v>
      </c>
      <c r="E82">
        <v>164</v>
      </c>
      <c r="F82">
        <v>735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tr">
        <v>Musliadi (44Kg)</v>
      </c>
      <c r="N82">
        <v>44</v>
      </c>
      <c r="O82">
        <f>E82+G82+I82+K82</f>
      </c>
      <c r="P82">
        <f>F82+H82+J82+L82</f>
      </c>
      <c r="Q82">
        <f>N82</f>
      </c>
      <c r="R82">
        <f>O82+P82+Q82</f>
      </c>
      <c r="S82" t="str">
        <v>Petugas Kebersihan BARU</v>
      </c>
      <c r="T82" t="str">
        <v>Data Resmi Oktober 2026</v>
      </c>
    </row>
    <row r="83">
      <c r="A83">
        <v>82</v>
      </c>
      <c r="B83" t="str">
        <v>2026-10-09</v>
      </c>
      <c r="C83" t="str">
        <v>73.71.01.1002</v>
      </c>
      <c r="D83" t="str">
        <v>Kelurahan Bulogading</v>
      </c>
      <c r="E83">
        <v>41</v>
      </c>
      <c r="F83">
        <v>24</v>
      </c>
      <c r="G83">
        <v>11</v>
      </c>
      <c r="H83">
        <v>5</v>
      </c>
      <c r="I83">
        <v>8</v>
      </c>
      <c r="J83">
        <v>5</v>
      </c>
      <c r="K83">
        <v>50</v>
      </c>
      <c r="L83">
        <v>13</v>
      </c>
      <c r="M83" t="str">
        <v>Ansu (44Kg), Awal Wahid (35Kg)</v>
      </c>
      <c r="N83">
        <v>79</v>
      </c>
      <c r="O83">
        <f>E83+G83+I83+K83</f>
      </c>
      <c r="P83">
        <f>F83+H83+J83+L83</f>
      </c>
      <c r="Q83">
        <f>N83</f>
      </c>
      <c r="R83">
        <f>O83+P83+Q83</f>
      </c>
      <c r="S83" t="str">
        <v>Petugas Kebersihan BULOGADING</v>
      </c>
      <c r="T83" t="str">
        <v>Data Resmi Oktober 2026</v>
      </c>
    </row>
    <row r="84">
      <c r="A84">
        <v>83</v>
      </c>
      <c r="B84" t="str">
        <v>2026-10-09</v>
      </c>
      <c r="C84" t="str">
        <v>73.71.01.1003</v>
      </c>
      <c r="D84" t="str">
        <v>Kelurahan Lae-Lae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tr">
        <v>-</v>
      </c>
      <c r="N84">
        <v>0</v>
      </c>
      <c r="O84">
        <f>E84+G84+I84+K84</f>
      </c>
      <c r="P84">
        <f>F84+H84+J84+L84</f>
      </c>
      <c r="Q84">
        <f>N84</f>
      </c>
      <c r="R84">
        <f>O84+P84+Q84</f>
      </c>
      <c r="S84" t="str">
        <v>Petugas Kebersihan LAE-LAE</v>
      </c>
      <c r="T84" t="str">
        <v>Data Resmi Oktober 2026</v>
      </c>
    </row>
    <row r="85">
      <c r="A85">
        <v>84</v>
      </c>
      <c r="B85" t="str">
        <v>2026-10-09</v>
      </c>
      <c r="C85" t="str">
        <v>73.71.01.1004</v>
      </c>
      <c r="D85" t="str">
        <v>Kelurahan Lajangiru</v>
      </c>
      <c r="E85">
        <v>4</v>
      </c>
      <c r="F85">
        <v>0</v>
      </c>
      <c r="G85">
        <v>5</v>
      </c>
      <c r="H85">
        <v>0</v>
      </c>
      <c r="I85">
        <v>4</v>
      </c>
      <c r="J85">
        <v>0</v>
      </c>
      <c r="K85">
        <v>10</v>
      </c>
      <c r="L85">
        <v>0</v>
      </c>
      <c r="M85" t="str">
        <v>-</v>
      </c>
      <c r="N85">
        <v>0</v>
      </c>
      <c r="O85">
        <f>E85+G85+I85+K85</f>
      </c>
      <c r="P85">
        <f>F85+H85+J85+L85</f>
      </c>
      <c r="Q85">
        <f>N85</f>
      </c>
      <c r="R85">
        <f>O85+P85+Q85</f>
      </c>
      <c r="S85" t="str">
        <v>Petugas Kebersihan LAJANGIRU</v>
      </c>
      <c r="T85" t="str">
        <v>Data Resmi Oktober 2026</v>
      </c>
    </row>
    <row r="86">
      <c r="A86">
        <v>85</v>
      </c>
      <c r="B86" t="str">
        <v>2026-10-09</v>
      </c>
      <c r="C86" t="str">
        <v>73.71.01.1005</v>
      </c>
      <c r="D86" t="str">
        <v>Kelurahan Losari</v>
      </c>
      <c r="E86">
        <v>3</v>
      </c>
      <c r="F86">
        <v>0</v>
      </c>
      <c r="G86">
        <v>0</v>
      </c>
      <c r="H86">
        <v>0</v>
      </c>
      <c r="I86">
        <v>0</v>
      </c>
      <c r="J86">
        <v>0</v>
      </c>
      <c r="K86">
        <v>69</v>
      </c>
      <c r="L86">
        <v>0</v>
      </c>
      <c r="M86" t="str">
        <v>Hasrul (25Kg)</v>
      </c>
      <c r="N86">
        <v>25</v>
      </c>
      <c r="O86">
        <f>E86+G86+I86+K86</f>
      </c>
      <c r="P86">
        <f>F86+H86+J86+L86</f>
      </c>
      <c r="Q86">
        <f>N86</f>
      </c>
      <c r="R86">
        <f>O86+P86+Q86</f>
      </c>
      <c r="S86" t="str">
        <v>Petugas Kebersihan LOSARI</v>
      </c>
      <c r="T86" t="str">
        <v>Data Resmi Oktober 2026</v>
      </c>
    </row>
    <row r="87">
      <c r="A87">
        <v>86</v>
      </c>
      <c r="B87" t="str">
        <v>2026-10-09</v>
      </c>
      <c r="C87" t="str">
        <v>73.71.01.1006</v>
      </c>
      <c r="D87" t="str">
        <v>Kelurahan Maloku</v>
      </c>
      <c r="E87">
        <v>15</v>
      </c>
      <c r="F87">
        <v>20</v>
      </c>
      <c r="G87">
        <v>0</v>
      </c>
      <c r="H87">
        <v>0</v>
      </c>
      <c r="I87">
        <v>4</v>
      </c>
      <c r="J87">
        <v>5</v>
      </c>
      <c r="K87">
        <v>8</v>
      </c>
      <c r="L87">
        <v>8</v>
      </c>
      <c r="M87" t="str">
        <v>Erwin (48Kg), Samsir (45Kg)</v>
      </c>
      <c r="N87">
        <v>93</v>
      </c>
      <c r="O87">
        <f>E87+G87+I87+K87</f>
      </c>
      <c r="P87">
        <f>F87+H87+J87+L87</f>
      </c>
      <c r="Q87">
        <f>N87</f>
      </c>
      <c r="R87">
        <f>O87+P87+Q87</f>
      </c>
      <c r="S87" t="str">
        <v>Petugas Kebersihan MALOKU</v>
      </c>
      <c r="T87" t="str">
        <v>Data Resmi Oktober 2026</v>
      </c>
    </row>
    <row r="88">
      <c r="A88">
        <v>87</v>
      </c>
      <c r="B88" t="str">
        <v>2026-10-09</v>
      </c>
      <c r="C88" t="str">
        <v>73.71.01.1007</v>
      </c>
      <c r="D88" t="str">
        <v>Kelurahan Mangkura</v>
      </c>
      <c r="E88">
        <v>42</v>
      </c>
      <c r="F88">
        <v>30</v>
      </c>
      <c r="G88">
        <v>22</v>
      </c>
      <c r="H88">
        <v>15</v>
      </c>
      <c r="I88">
        <v>5</v>
      </c>
      <c r="J88">
        <v>4</v>
      </c>
      <c r="K88">
        <v>28</v>
      </c>
      <c r="L88">
        <v>18</v>
      </c>
      <c r="M88" t="str">
        <v>Malalengga (26Kg), Abd. Rahman (35Kg)</v>
      </c>
      <c r="N88">
        <v>61</v>
      </c>
      <c r="O88">
        <f>E88+G88+I88+K88</f>
      </c>
      <c r="P88">
        <f>F88+H88+J88+L88</f>
      </c>
      <c r="Q88">
        <f>N88</f>
      </c>
      <c r="R88">
        <f>O88+P88+Q88</f>
      </c>
      <c r="S88" t="str">
        <v>Petugas Kebersihan MANGKURA</v>
      </c>
      <c r="T88" t="str">
        <v>Data Resmi Oktober 2026</v>
      </c>
    </row>
    <row r="89">
      <c r="A89">
        <v>88</v>
      </c>
      <c r="B89" t="str">
        <v>2026-10-09</v>
      </c>
      <c r="C89" t="str">
        <v>73.71.01.1008</v>
      </c>
      <c r="D89" t="str">
        <v>Kelurahan Pisang Selatan</v>
      </c>
      <c r="E89">
        <v>8</v>
      </c>
      <c r="F89">
        <v>0</v>
      </c>
      <c r="G89">
        <v>4</v>
      </c>
      <c r="H89">
        <v>0</v>
      </c>
      <c r="I89">
        <v>1</v>
      </c>
      <c r="J89">
        <v>0</v>
      </c>
      <c r="K89">
        <v>4</v>
      </c>
      <c r="L89">
        <v>0</v>
      </c>
      <c r="M89" t="str">
        <v>-</v>
      </c>
      <c r="N89">
        <v>0</v>
      </c>
      <c r="O89">
        <f>E89+G89+I89+K89</f>
      </c>
      <c r="P89">
        <f>F89+H89+J89+L89</f>
      </c>
      <c r="Q89">
        <f>N89</f>
      </c>
      <c r="R89">
        <f>O89+P89+Q89</f>
      </c>
      <c r="S89" t="str">
        <v>Petugas Kebersihan PISANG SELATAN</v>
      </c>
      <c r="T89" t="str">
        <v>Data Resmi Oktober 2026</v>
      </c>
    </row>
    <row r="90">
      <c r="A90">
        <v>89</v>
      </c>
      <c r="B90" t="str">
        <v>2026-10-09</v>
      </c>
      <c r="C90" t="str">
        <v>73.71.01.1009</v>
      </c>
      <c r="D90" t="str">
        <v>Kelurahan Pisang Utara</v>
      </c>
      <c r="E90">
        <v>3</v>
      </c>
      <c r="F90">
        <v>15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tr">
        <v>-</v>
      </c>
      <c r="N90">
        <v>0</v>
      </c>
      <c r="O90">
        <f>E90+G90+I90+K90</f>
      </c>
      <c r="P90">
        <f>F90+H90+J90+L90</f>
      </c>
      <c r="Q90">
        <f>N90</f>
      </c>
      <c r="R90">
        <f>O90+P90+Q90</f>
      </c>
      <c r="S90" t="str">
        <v>Petugas Kebersihan PISANG UTARA</v>
      </c>
      <c r="T90" t="str">
        <v>Data Resmi Oktober 2026</v>
      </c>
    </row>
    <row r="91">
      <c r="A91">
        <v>90</v>
      </c>
      <c r="B91" t="str">
        <v>2026-10-09</v>
      </c>
      <c r="C91" t="str">
        <v>73.71.01.1010</v>
      </c>
      <c r="D91" t="str">
        <v>Kelurahan Sawerigading</v>
      </c>
      <c r="E91">
        <v>22</v>
      </c>
      <c r="F91">
        <v>2</v>
      </c>
      <c r="G91">
        <v>0</v>
      </c>
      <c r="H91">
        <v>0</v>
      </c>
      <c r="I91">
        <v>0</v>
      </c>
      <c r="J91">
        <v>0</v>
      </c>
      <c r="K91">
        <v>101</v>
      </c>
      <c r="L91">
        <v>0</v>
      </c>
      <c r="M91" t="str">
        <v>Nurdin Aco (34Kg)</v>
      </c>
      <c r="N91">
        <v>34</v>
      </c>
      <c r="O91">
        <f>E91+G91+I91+K91</f>
      </c>
      <c r="P91">
        <f>F91+H91+J91+L91</f>
      </c>
      <c r="Q91">
        <f>N91</f>
      </c>
      <c r="R91">
        <f>O91+P91+Q91</f>
      </c>
      <c r="S91" t="str">
        <v>Petugas Kebersihan SAWERIGADING</v>
      </c>
      <c r="T91" t="str">
        <v>Data Resmi Oktober 2026</v>
      </c>
    </row>
    <row r="92">
      <c r="A92">
        <v>91</v>
      </c>
      <c r="B92" t="str">
        <v>2026-10-10</v>
      </c>
      <c r="C92" t="str">
        <v>73.71.01.1001</v>
      </c>
      <c r="D92" t="str">
        <v>Kelurahan Baru</v>
      </c>
      <c r="E92">
        <v>180</v>
      </c>
      <c r="F92">
        <v>803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tr">
        <v>Musliadi (48Kg)</v>
      </c>
      <c r="N92">
        <v>48</v>
      </c>
      <c r="O92">
        <f>E92+G92+I92+K92</f>
      </c>
      <c r="P92">
        <f>F92+H92+J92+L92</f>
      </c>
      <c r="Q92">
        <f>N92</f>
      </c>
      <c r="R92">
        <f>O92+P92+Q92</f>
      </c>
      <c r="S92" t="str">
        <v>Petugas Kebersihan BARU</v>
      </c>
      <c r="T92" t="str">
        <v>Data Resmi Oktober 2026</v>
      </c>
    </row>
    <row r="93">
      <c r="A93">
        <v>92</v>
      </c>
      <c r="B93" t="str">
        <v>2026-10-10</v>
      </c>
      <c r="C93" t="str">
        <v>73.71.01.1002</v>
      </c>
      <c r="D93" t="str">
        <v>Kelurahan Bulogading</v>
      </c>
      <c r="E93">
        <v>44</v>
      </c>
      <c r="F93">
        <v>26</v>
      </c>
      <c r="G93">
        <v>12</v>
      </c>
      <c r="H93">
        <v>6</v>
      </c>
      <c r="I93">
        <v>9</v>
      </c>
      <c r="J93">
        <v>5</v>
      </c>
      <c r="K93">
        <v>55</v>
      </c>
      <c r="L93">
        <v>14</v>
      </c>
      <c r="M93" t="str">
        <v>Ansu (49Kg), Awal Wahid (38Kg)</v>
      </c>
      <c r="N93">
        <v>87</v>
      </c>
      <c r="O93">
        <f>E93+G93+I93+K93</f>
      </c>
      <c r="P93">
        <f>F93+H93+J93+L93</f>
      </c>
      <c r="Q93">
        <f>N93</f>
      </c>
      <c r="R93">
        <f>O93+P93+Q93</f>
      </c>
      <c r="S93" t="str">
        <v>Petugas Kebersihan BULOGADING</v>
      </c>
      <c r="T93" t="str">
        <v>Data Resmi Oktober 2026</v>
      </c>
    </row>
    <row r="94">
      <c r="A94">
        <v>93</v>
      </c>
      <c r="B94" t="str">
        <v>2026-10-10</v>
      </c>
      <c r="C94" t="str">
        <v>73.71.01.1003</v>
      </c>
      <c r="D94" t="str">
        <v>Kelurahan Lae-Lae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tr">
        <v>-</v>
      </c>
      <c r="N94">
        <v>0</v>
      </c>
      <c r="O94">
        <f>E94+G94+I94+K94</f>
      </c>
      <c r="P94">
        <f>F94+H94+J94+L94</f>
      </c>
      <c r="Q94">
        <f>N94</f>
      </c>
      <c r="R94">
        <f>O94+P94+Q94</f>
      </c>
      <c r="S94" t="str">
        <v>Petugas Kebersihan LAE-LAE</v>
      </c>
      <c r="T94" t="str">
        <v>Data Resmi Oktober 2026</v>
      </c>
    </row>
    <row r="95">
      <c r="A95">
        <v>94</v>
      </c>
      <c r="B95" t="str">
        <v>2026-10-10</v>
      </c>
      <c r="C95" t="str">
        <v>73.71.01.1004</v>
      </c>
      <c r="D95" t="str">
        <v>Kelurahan Lajangiru</v>
      </c>
      <c r="E95">
        <v>5</v>
      </c>
      <c r="F95">
        <v>0</v>
      </c>
      <c r="G95">
        <v>6</v>
      </c>
      <c r="H95">
        <v>0</v>
      </c>
      <c r="I95">
        <v>5</v>
      </c>
      <c r="J95">
        <v>0</v>
      </c>
      <c r="K95">
        <v>11</v>
      </c>
      <c r="L95">
        <v>0</v>
      </c>
      <c r="M95" t="str">
        <v>-</v>
      </c>
      <c r="N95">
        <v>0</v>
      </c>
      <c r="O95">
        <f>E95+G95+I95+K95</f>
      </c>
      <c r="P95">
        <f>F95+H95+J95+L95</f>
      </c>
      <c r="Q95">
        <f>N95</f>
      </c>
      <c r="R95">
        <f>O95+P95+Q95</f>
      </c>
      <c r="S95" t="str">
        <v>Petugas Kebersihan LAJANGIRU</v>
      </c>
      <c r="T95" t="str">
        <v>Data Resmi Oktober 2026</v>
      </c>
    </row>
    <row r="96">
      <c r="A96">
        <v>95</v>
      </c>
      <c r="B96" t="str">
        <v>2026-10-10</v>
      </c>
      <c r="C96" t="str">
        <v>73.71.01.1005</v>
      </c>
      <c r="D96" t="str">
        <v>Kelurahan Losari</v>
      </c>
      <c r="E96">
        <v>3</v>
      </c>
      <c r="F96">
        <v>0</v>
      </c>
      <c r="G96">
        <v>0</v>
      </c>
      <c r="H96">
        <v>0</v>
      </c>
      <c r="I96">
        <v>0</v>
      </c>
      <c r="J96">
        <v>0</v>
      </c>
      <c r="K96">
        <v>75</v>
      </c>
      <c r="L96">
        <v>0</v>
      </c>
      <c r="M96" t="str">
        <v>Hasrul (27Kg)</v>
      </c>
      <c r="N96">
        <v>27</v>
      </c>
      <c r="O96">
        <f>E96+G96+I96+K96</f>
      </c>
      <c r="P96">
        <f>F96+H96+J96+L96</f>
      </c>
      <c r="Q96">
        <f>N96</f>
      </c>
      <c r="R96">
        <f>O96+P96+Q96</f>
      </c>
      <c r="S96" t="str">
        <v>Petugas Kebersihan LOSARI</v>
      </c>
      <c r="T96" t="str">
        <v>Data Resmi Oktober 2026</v>
      </c>
    </row>
    <row r="97">
      <c r="A97">
        <v>96</v>
      </c>
      <c r="B97" t="str">
        <v>2026-10-10</v>
      </c>
      <c r="C97" t="str">
        <v>73.71.01.1006</v>
      </c>
      <c r="D97" t="str">
        <v>Kelurahan Maloku</v>
      </c>
      <c r="E97">
        <v>16</v>
      </c>
      <c r="F97">
        <v>22</v>
      </c>
      <c r="G97">
        <v>0</v>
      </c>
      <c r="H97">
        <v>0</v>
      </c>
      <c r="I97">
        <v>4</v>
      </c>
      <c r="J97">
        <v>5</v>
      </c>
      <c r="K97">
        <v>9</v>
      </c>
      <c r="L97">
        <v>8</v>
      </c>
      <c r="M97" t="str">
        <v>Erwin (53Kg), Samsir (49Kg)</v>
      </c>
      <c r="N97">
        <v>102</v>
      </c>
      <c r="O97">
        <f>E97+G97+I97+K97</f>
      </c>
      <c r="P97">
        <f>F97+H97+J97+L97</f>
      </c>
      <c r="Q97">
        <f>N97</f>
      </c>
      <c r="R97">
        <f>O97+P97+Q97</f>
      </c>
      <c r="S97" t="str">
        <v>Petugas Kebersihan MALOKU</v>
      </c>
      <c r="T97" t="str">
        <v>Data Resmi Oktober 2026</v>
      </c>
    </row>
    <row r="98">
      <c r="A98">
        <v>97</v>
      </c>
      <c r="B98" t="str">
        <v>2026-10-10</v>
      </c>
      <c r="C98" t="str">
        <v>73.71.01.1007</v>
      </c>
      <c r="D98" t="str">
        <v>Kelurahan Mangkura</v>
      </c>
      <c r="E98">
        <v>45</v>
      </c>
      <c r="F98">
        <v>32</v>
      </c>
      <c r="G98">
        <v>24</v>
      </c>
      <c r="H98">
        <v>16</v>
      </c>
      <c r="I98">
        <v>6</v>
      </c>
      <c r="J98">
        <v>4</v>
      </c>
      <c r="K98">
        <v>30</v>
      </c>
      <c r="L98">
        <v>20</v>
      </c>
      <c r="M98" t="str">
        <v>Malalengga (29Kg), Abd. Rahman (38Kg)</v>
      </c>
      <c r="N98">
        <v>67</v>
      </c>
      <c r="O98">
        <f>E98+G98+I98+K98</f>
      </c>
      <c r="P98">
        <f>F98+H98+J98+L98</f>
      </c>
      <c r="Q98">
        <f>N98</f>
      </c>
      <c r="R98">
        <f>O98+P98+Q98</f>
      </c>
      <c r="S98" t="str">
        <v>Petugas Kebersihan MANGKURA</v>
      </c>
      <c r="T98" t="str">
        <v>Data Resmi Oktober 2026</v>
      </c>
    </row>
    <row r="99">
      <c r="A99">
        <v>98</v>
      </c>
      <c r="B99" t="str">
        <v>2026-10-10</v>
      </c>
      <c r="C99" t="str">
        <v>73.71.01.1008</v>
      </c>
      <c r="D99" t="str">
        <v>Kelurahan Pisang Selatan</v>
      </c>
      <c r="E99">
        <v>8</v>
      </c>
      <c r="F99">
        <v>0</v>
      </c>
      <c r="G99">
        <v>4</v>
      </c>
      <c r="H99">
        <v>0</v>
      </c>
      <c r="I99">
        <v>1</v>
      </c>
      <c r="J99">
        <v>0</v>
      </c>
      <c r="K99">
        <v>5</v>
      </c>
      <c r="L99">
        <v>0</v>
      </c>
      <c r="M99" t="str">
        <v>-</v>
      </c>
      <c r="N99">
        <v>0</v>
      </c>
      <c r="O99">
        <f>E99+G99+I99+K99</f>
      </c>
      <c r="P99">
        <f>F99+H99+J99+L99</f>
      </c>
      <c r="Q99">
        <f>N99</f>
      </c>
      <c r="R99">
        <f>O99+P99+Q99</f>
      </c>
      <c r="S99" t="str">
        <v>Petugas Kebersihan PISANG SELATAN</v>
      </c>
      <c r="T99" t="str">
        <v>Data Resmi Oktober 2026</v>
      </c>
    </row>
    <row r="100">
      <c r="A100">
        <v>99</v>
      </c>
      <c r="B100" t="str">
        <v>2026-10-10</v>
      </c>
      <c r="C100" t="str">
        <v>73.71.01.1009</v>
      </c>
      <c r="D100" t="str">
        <v>Kelurahan Pisang Utara</v>
      </c>
      <c r="E100">
        <v>3</v>
      </c>
      <c r="F100">
        <v>17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tr">
        <v>-</v>
      </c>
      <c r="N100">
        <v>0</v>
      </c>
      <c r="O100">
        <f>E100+G100+I100+K100</f>
      </c>
      <c r="P100">
        <f>F100+H100+J100+L100</f>
      </c>
      <c r="Q100">
        <f>N100</f>
      </c>
      <c r="R100">
        <f>O100+P100+Q100</f>
      </c>
      <c r="S100" t="str">
        <v>Petugas Kebersihan PISANG UTARA</v>
      </c>
      <c r="T100" t="str">
        <v>Data Resmi Oktober 2026</v>
      </c>
    </row>
    <row r="101">
      <c r="A101">
        <v>100</v>
      </c>
      <c r="B101" t="str">
        <v>2026-10-10</v>
      </c>
      <c r="C101" t="str">
        <v>73.71.01.1010</v>
      </c>
      <c r="D101" t="str">
        <v>Kelurahan Sawerigading</v>
      </c>
      <c r="E101">
        <v>24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110</v>
      </c>
      <c r="L101">
        <v>0</v>
      </c>
      <c r="M101" t="str">
        <v>Nurdin Aco (37Kg)</v>
      </c>
      <c r="N101">
        <v>37</v>
      </c>
      <c r="O101">
        <f>E101+G101+I101+K101</f>
      </c>
      <c r="P101">
        <f>F101+H101+J101+L101</f>
      </c>
      <c r="Q101">
        <f>N101</f>
      </c>
      <c r="R101">
        <f>O101+P101+Q101</f>
      </c>
      <c r="S101" t="str">
        <v>Petugas Kebersihan SAWERIGADING</v>
      </c>
      <c r="T101" t="str">
        <v>Data Resmi Oktober 2026</v>
      </c>
    </row>
    <row r="102">
      <c r="A102">
        <v>101</v>
      </c>
      <c r="B102" t="str">
        <v>2026-10-11</v>
      </c>
      <c r="C102" t="str">
        <v>73.71.01.1001</v>
      </c>
      <c r="D102" t="str">
        <v>Kelurahan Baru</v>
      </c>
      <c r="E102">
        <v>183</v>
      </c>
      <c r="F102">
        <v>818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tr">
        <v>Musliadi (49Kg)</v>
      </c>
      <c r="N102">
        <v>49</v>
      </c>
      <c r="O102">
        <f>E102+G102+I102+K102</f>
      </c>
      <c r="P102">
        <f>F102+H102+J102+L102</f>
      </c>
      <c r="Q102">
        <f>N102</f>
      </c>
      <c r="R102">
        <f>O102+P102+Q102</f>
      </c>
      <c r="S102" t="str">
        <v>Petugas Kebersihan BARU</v>
      </c>
      <c r="T102" t="str">
        <v>Data Resmi Oktober 2026</v>
      </c>
    </row>
    <row r="103">
      <c r="A103">
        <v>102</v>
      </c>
      <c r="B103" t="str">
        <v>2026-10-11</v>
      </c>
      <c r="C103" t="str">
        <v>73.71.01.1002</v>
      </c>
      <c r="D103" t="str">
        <v>Kelurahan Bulogading</v>
      </c>
      <c r="E103">
        <v>45</v>
      </c>
      <c r="F103">
        <v>26</v>
      </c>
      <c r="G103">
        <v>13</v>
      </c>
      <c r="H103">
        <v>6</v>
      </c>
      <c r="I103">
        <v>9</v>
      </c>
      <c r="J103">
        <v>5</v>
      </c>
      <c r="K103">
        <v>56</v>
      </c>
      <c r="L103">
        <v>14</v>
      </c>
      <c r="M103" t="str">
        <v>Ansu (49Kg), Awal Wahid (38Kg)</v>
      </c>
      <c r="N103">
        <v>87</v>
      </c>
      <c r="O103">
        <f>E103+G103+I103+K103</f>
      </c>
      <c r="P103">
        <f>F103+H103+J103+L103</f>
      </c>
      <c r="Q103">
        <f>N103</f>
      </c>
      <c r="R103">
        <f>O103+P103+Q103</f>
      </c>
      <c r="S103" t="str">
        <v>Petugas Kebersihan BULOGADING</v>
      </c>
      <c r="T103" t="str">
        <v>Data Resmi Oktober 2026</v>
      </c>
    </row>
    <row r="104">
      <c r="A104">
        <v>103</v>
      </c>
      <c r="B104" t="str">
        <v>2026-10-11</v>
      </c>
      <c r="C104" t="str">
        <v>73.71.01.1003</v>
      </c>
      <c r="D104" t="str">
        <v>Kelurahan Lae-Lae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tr">
        <v>-</v>
      </c>
      <c r="N104">
        <v>0</v>
      </c>
      <c r="O104">
        <f>E104+G104+I104+K104</f>
      </c>
      <c r="P104">
        <f>F104+H104+J104+L104</f>
      </c>
      <c r="Q104">
        <f>N104</f>
      </c>
      <c r="R104">
        <f>O104+P104+Q104</f>
      </c>
      <c r="S104" t="str">
        <v>Petugas Kebersihan LAE-LAE</v>
      </c>
      <c r="T104" t="str">
        <v>Data Resmi Oktober 2026</v>
      </c>
    </row>
    <row r="105">
      <c r="A105">
        <v>104</v>
      </c>
      <c r="B105" t="str">
        <v>2026-10-11</v>
      </c>
      <c r="C105" t="str">
        <v>73.71.01.1004</v>
      </c>
      <c r="D105" t="str">
        <v>Kelurahan Lajangiru</v>
      </c>
      <c r="E105">
        <v>5</v>
      </c>
      <c r="F105">
        <v>0</v>
      </c>
      <c r="G105">
        <v>6</v>
      </c>
      <c r="H105">
        <v>0</v>
      </c>
      <c r="I105">
        <v>5</v>
      </c>
      <c r="J105">
        <v>0</v>
      </c>
      <c r="K105">
        <v>11</v>
      </c>
      <c r="L105">
        <v>0</v>
      </c>
      <c r="M105" t="str">
        <v>-</v>
      </c>
      <c r="N105">
        <v>0</v>
      </c>
      <c r="O105">
        <f>E105+G105+I105+K105</f>
      </c>
      <c r="P105">
        <f>F105+H105+J105+L105</f>
      </c>
      <c r="Q105">
        <f>N105</f>
      </c>
      <c r="R105">
        <f>O105+P105+Q105</f>
      </c>
      <c r="S105" t="str">
        <v>Petugas Kebersihan LAJANGIRU</v>
      </c>
      <c r="T105" t="str">
        <v>Data Resmi Oktober 2026</v>
      </c>
    </row>
    <row r="106">
      <c r="A106">
        <v>105</v>
      </c>
      <c r="B106" t="str">
        <v>2026-10-11</v>
      </c>
      <c r="C106" t="str">
        <v>73.71.01.1005</v>
      </c>
      <c r="D106" t="str">
        <v>Kelurahan Losari</v>
      </c>
      <c r="E106">
        <v>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76</v>
      </c>
      <c r="L106">
        <v>0</v>
      </c>
      <c r="M106" t="str">
        <v>Hasrul (28Kg)</v>
      </c>
      <c r="N106">
        <v>28</v>
      </c>
      <c r="O106">
        <f>E106+G106+I106+K106</f>
      </c>
      <c r="P106">
        <f>F106+H106+J106+L106</f>
      </c>
      <c r="Q106">
        <f>N106</f>
      </c>
      <c r="R106">
        <f>O106+P106+Q106</f>
      </c>
      <c r="S106" t="str">
        <v>Petugas Kebersihan LOSARI</v>
      </c>
      <c r="T106" t="str">
        <v>Data Resmi Oktober 2026</v>
      </c>
    </row>
    <row r="107">
      <c r="A107">
        <v>106</v>
      </c>
      <c r="B107" t="str">
        <v>2026-10-11</v>
      </c>
      <c r="C107" t="str">
        <v>73.71.01.1006</v>
      </c>
      <c r="D107" t="str">
        <v>Kelurahan Maloku</v>
      </c>
      <c r="E107">
        <v>16</v>
      </c>
      <c r="F107">
        <v>22</v>
      </c>
      <c r="G107">
        <v>0</v>
      </c>
      <c r="H107">
        <v>0</v>
      </c>
      <c r="I107">
        <v>4</v>
      </c>
      <c r="J107">
        <v>5</v>
      </c>
      <c r="K107">
        <v>9</v>
      </c>
      <c r="L107">
        <v>9</v>
      </c>
      <c r="M107" t="str">
        <v>Erwin (54Kg), Samsir (50Kg)</v>
      </c>
      <c r="N107">
        <v>104</v>
      </c>
      <c r="O107">
        <f>E107+G107+I107+K107</f>
      </c>
      <c r="P107">
        <f>F107+H107+J107+L107</f>
      </c>
      <c r="Q107">
        <f>N107</f>
      </c>
      <c r="R107">
        <f>O107+P107+Q107</f>
      </c>
      <c r="S107" t="str">
        <v>Petugas Kebersihan MALOKU</v>
      </c>
      <c r="T107" t="str">
        <v>Data Resmi Oktober 2026</v>
      </c>
    </row>
    <row r="108">
      <c r="A108">
        <v>107</v>
      </c>
      <c r="B108" t="str">
        <v>2026-10-11</v>
      </c>
      <c r="C108" t="str">
        <v>73.71.01.1007</v>
      </c>
      <c r="D108" t="str">
        <v>Kelurahan Mangkura</v>
      </c>
      <c r="E108">
        <v>46</v>
      </c>
      <c r="F108">
        <v>33</v>
      </c>
      <c r="G108">
        <v>25</v>
      </c>
      <c r="H108">
        <v>17</v>
      </c>
      <c r="I108">
        <v>6</v>
      </c>
      <c r="J108">
        <v>4</v>
      </c>
      <c r="K108">
        <v>31</v>
      </c>
      <c r="L108">
        <v>20</v>
      </c>
      <c r="M108" t="str">
        <v>Malalengga (29Kg), Abd. Rahman (39Kg)</v>
      </c>
      <c r="N108">
        <v>68</v>
      </c>
      <c r="O108">
        <f>E108+G108+I108+K108</f>
      </c>
      <c r="P108">
        <f>F108+H108+J108+L108</f>
      </c>
      <c r="Q108">
        <f>N108</f>
      </c>
      <c r="R108">
        <f>O108+P108+Q108</f>
      </c>
      <c r="S108" t="str">
        <v>Petugas Kebersihan MANGKURA</v>
      </c>
      <c r="T108" t="str">
        <v>Data Resmi Oktober 2026</v>
      </c>
    </row>
    <row r="109">
      <c r="A109">
        <v>108</v>
      </c>
      <c r="B109" t="str">
        <v>2026-10-11</v>
      </c>
      <c r="C109" t="str">
        <v>73.71.01.1008</v>
      </c>
      <c r="D109" t="str">
        <v>Kelurahan Pisang Selatan</v>
      </c>
      <c r="E109">
        <v>9</v>
      </c>
      <c r="F109">
        <v>1</v>
      </c>
      <c r="G109">
        <v>5</v>
      </c>
      <c r="H109">
        <v>0</v>
      </c>
      <c r="I109">
        <v>1</v>
      </c>
      <c r="J109">
        <v>0</v>
      </c>
      <c r="K109">
        <v>5</v>
      </c>
      <c r="L109">
        <v>0</v>
      </c>
      <c r="M109" t="str">
        <v>-</v>
      </c>
      <c r="N109">
        <v>0</v>
      </c>
      <c r="O109">
        <f>E109+G109+I109+K109</f>
      </c>
      <c r="P109">
        <f>F109+H109+J109+L109</f>
      </c>
      <c r="Q109">
        <f>N109</f>
      </c>
      <c r="R109">
        <f>O109+P109+Q109</f>
      </c>
      <c r="S109" t="str">
        <v>Petugas Kebersihan PISANG SELATAN</v>
      </c>
      <c r="T109" t="str">
        <v>Data Resmi Oktober 2026</v>
      </c>
    </row>
    <row r="110">
      <c r="A110">
        <v>109</v>
      </c>
      <c r="B110" t="str">
        <v>2026-10-11</v>
      </c>
      <c r="C110" t="str">
        <v>73.71.01.1009</v>
      </c>
      <c r="D110" t="str">
        <v>Kelurahan Pisang Utara</v>
      </c>
      <c r="E110">
        <v>3</v>
      </c>
      <c r="F110">
        <v>17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tr">
        <v>-</v>
      </c>
      <c r="N110">
        <v>0</v>
      </c>
      <c r="O110">
        <f>E110+G110+I110+K110</f>
      </c>
      <c r="P110">
        <f>F110+H110+J110+L110</f>
      </c>
      <c r="Q110">
        <f>N110</f>
      </c>
      <c r="R110">
        <f>O110+P110+Q110</f>
      </c>
      <c r="S110" t="str">
        <v>Petugas Kebersihan PISANG UTARA</v>
      </c>
      <c r="T110" t="str">
        <v>Data Resmi Oktober 2026</v>
      </c>
    </row>
    <row r="111">
      <c r="A111">
        <v>110</v>
      </c>
      <c r="B111" t="str">
        <v>2026-10-11</v>
      </c>
      <c r="C111" t="str">
        <v>73.71.01.1010</v>
      </c>
      <c r="D111" t="str">
        <v>Kelurahan Sawerigading</v>
      </c>
      <c r="E111">
        <v>24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113</v>
      </c>
      <c r="L111">
        <v>0</v>
      </c>
      <c r="M111" t="str">
        <v>Nurdin Aco (38Kg)</v>
      </c>
      <c r="N111">
        <v>38</v>
      </c>
      <c r="O111">
        <f>E111+G111+I111+K111</f>
      </c>
      <c r="P111">
        <f>F111+H111+J111+L111</f>
      </c>
      <c r="Q111">
        <f>N111</f>
      </c>
      <c r="R111">
        <f>O111+P111+Q111</f>
      </c>
      <c r="S111" t="str">
        <v>Petugas Kebersihan SAWERIGADING</v>
      </c>
      <c r="T111" t="str">
        <v>Data Resmi Oktober 2026</v>
      </c>
    </row>
    <row r="112">
      <c r="A112">
        <v>111</v>
      </c>
      <c r="B112" t="str">
        <v>2026-10-12</v>
      </c>
      <c r="C112" t="str">
        <v>73.71.01.1001</v>
      </c>
      <c r="D112" t="str">
        <v>Kelurahan Baru</v>
      </c>
      <c r="E112">
        <v>158</v>
      </c>
      <c r="F112">
        <v>705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tr">
        <v>Musliadi (42Kg)</v>
      </c>
      <c r="N112">
        <v>42</v>
      </c>
      <c r="O112">
        <f>E112+G112+I112+K112</f>
      </c>
      <c r="P112">
        <f>F112+H112+J112+L112</f>
      </c>
      <c r="Q112">
        <f>N112</f>
      </c>
      <c r="R112">
        <f>O112+P112+Q112</f>
      </c>
      <c r="S112" t="str">
        <v>Petugas Kebersihan BARU</v>
      </c>
      <c r="T112" t="str">
        <v>Data Resmi Oktober 2026</v>
      </c>
    </row>
    <row r="113">
      <c r="A113">
        <v>112</v>
      </c>
      <c r="B113" t="str">
        <v>2026-10-12</v>
      </c>
      <c r="C113" t="str">
        <v>73.71.01.1002</v>
      </c>
      <c r="D113" t="str">
        <v>Kelurahan Bulogading</v>
      </c>
      <c r="E113">
        <v>39</v>
      </c>
      <c r="F113">
        <v>23</v>
      </c>
      <c r="G113">
        <v>11</v>
      </c>
      <c r="H113">
        <v>5</v>
      </c>
      <c r="I113">
        <v>8</v>
      </c>
      <c r="J113">
        <v>4</v>
      </c>
      <c r="K113">
        <v>48</v>
      </c>
      <c r="L113">
        <v>12</v>
      </c>
      <c r="M113" t="str">
        <v>Ansu (43Kg), Awal Wahid (33Kg)</v>
      </c>
      <c r="N113">
        <v>76</v>
      </c>
      <c r="O113">
        <f>E113+G113+I113+K113</f>
      </c>
      <c r="P113">
        <f>F113+H113+J113+L113</f>
      </c>
      <c r="Q113">
        <f>N113</f>
      </c>
      <c r="R113">
        <f>O113+P113+Q113</f>
      </c>
      <c r="S113" t="str">
        <v>Petugas Kebersihan BULOGADING</v>
      </c>
      <c r="T113" t="str">
        <v>Data Resmi Oktober 2026</v>
      </c>
    </row>
    <row r="114">
      <c r="A114">
        <v>113</v>
      </c>
      <c r="B114" t="str">
        <v>2026-10-12</v>
      </c>
      <c r="C114" t="str">
        <v>73.71.01.1003</v>
      </c>
      <c r="D114" t="str">
        <v>Kelurahan Lae-Lae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tr">
        <v>-</v>
      </c>
      <c r="N114">
        <v>0</v>
      </c>
      <c r="O114">
        <f>E114+G114+I114+K114</f>
      </c>
      <c r="P114">
        <f>F114+H114+J114+L114</f>
      </c>
      <c r="Q114">
        <f>N114</f>
      </c>
      <c r="R114">
        <f>O114+P114+Q114</f>
      </c>
      <c r="S114" t="str">
        <v>Petugas Kebersihan LAE-LAE</v>
      </c>
      <c r="T114" t="str">
        <v>Data Resmi Oktober 2026</v>
      </c>
    </row>
    <row r="115">
      <c r="A115">
        <v>114</v>
      </c>
      <c r="B115" t="str">
        <v>2026-10-12</v>
      </c>
      <c r="C115" t="str">
        <v>73.71.01.1004</v>
      </c>
      <c r="D115" t="str">
        <v>Kelurahan Lajangiru</v>
      </c>
      <c r="E115">
        <v>4</v>
      </c>
      <c r="F115">
        <v>0</v>
      </c>
      <c r="G115">
        <v>5</v>
      </c>
      <c r="H115">
        <v>0</v>
      </c>
      <c r="I115">
        <v>4</v>
      </c>
      <c r="J115">
        <v>0</v>
      </c>
      <c r="K115">
        <v>9</v>
      </c>
      <c r="L115">
        <v>0</v>
      </c>
      <c r="M115" t="str">
        <v>-</v>
      </c>
      <c r="N115">
        <v>0</v>
      </c>
      <c r="O115">
        <f>E115+G115+I115+K115</f>
      </c>
      <c r="P115">
        <f>F115+H115+J115+L115</f>
      </c>
      <c r="Q115">
        <f>N115</f>
      </c>
      <c r="R115">
        <f>O115+P115+Q115</f>
      </c>
      <c r="S115" t="str">
        <v>Petugas Kebersihan LAJANGIRU</v>
      </c>
      <c r="T115" t="str">
        <v>Data Resmi Oktober 2026</v>
      </c>
    </row>
    <row r="116">
      <c r="A116">
        <v>115</v>
      </c>
      <c r="B116" t="str">
        <v>2026-10-12</v>
      </c>
      <c r="C116" t="str">
        <v>73.71.01.1005</v>
      </c>
      <c r="D116" t="str">
        <v>Kelurahan Losari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66</v>
      </c>
      <c r="L116">
        <v>0</v>
      </c>
      <c r="M116" t="str">
        <v>Hasrul (24Kg)</v>
      </c>
      <c r="N116">
        <v>24</v>
      </c>
      <c r="O116">
        <f>E116+G116+I116+K116</f>
      </c>
      <c r="P116">
        <f>F116+H116+J116+L116</f>
      </c>
      <c r="Q116">
        <f>N116</f>
      </c>
      <c r="R116">
        <f>O116+P116+Q116</f>
      </c>
      <c r="S116" t="str">
        <v>Petugas Kebersihan LOSARI</v>
      </c>
      <c r="T116" t="str">
        <v>Data Resmi Oktober 2026</v>
      </c>
    </row>
    <row r="117">
      <c r="A117">
        <v>116</v>
      </c>
      <c r="B117" t="str">
        <v>2026-10-12</v>
      </c>
      <c r="C117" t="str">
        <v>73.71.01.1006</v>
      </c>
      <c r="D117" t="str">
        <v>Kelurahan Maloku</v>
      </c>
      <c r="E117">
        <v>14</v>
      </c>
      <c r="F117">
        <v>19</v>
      </c>
      <c r="G117">
        <v>0</v>
      </c>
      <c r="H117">
        <v>0</v>
      </c>
      <c r="I117">
        <v>4</v>
      </c>
      <c r="J117">
        <v>5</v>
      </c>
      <c r="K117">
        <v>8</v>
      </c>
      <c r="L117">
        <v>7</v>
      </c>
      <c r="M117" t="str">
        <v>Erwin (46Kg), Samsir (43Kg)</v>
      </c>
      <c r="N117">
        <v>89</v>
      </c>
      <c r="O117">
        <f>E117+G117+I117+K117</f>
      </c>
      <c r="P117">
        <f>F117+H117+J117+L117</f>
      </c>
      <c r="Q117">
        <f>N117</f>
      </c>
      <c r="R117">
        <f>O117+P117+Q117</f>
      </c>
      <c r="S117" t="str">
        <v>Petugas Kebersihan MALOKU</v>
      </c>
      <c r="T117" t="str">
        <v>Data Resmi Oktober 2026</v>
      </c>
    </row>
    <row r="118">
      <c r="A118">
        <v>117</v>
      </c>
      <c r="B118" t="str">
        <v>2026-10-12</v>
      </c>
      <c r="C118" t="str">
        <v>73.71.01.1007</v>
      </c>
      <c r="D118" t="str">
        <v>Kelurahan Mangkura</v>
      </c>
      <c r="E118">
        <v>40</v>
      </c>
      <c r="F118">
        <v>28</v>
      </c>
      <c r="G118">
        <v>21</v>
      </c>
      <c r="H118">
        <v>14</v>
      </c>
      <c r="I118">
        <v>5</v>
      </c>
      <c r="J118">
        <v>4</v>
      </c>
      <c r="K118">
        <v>27</v>
      </c>
      <c r="L118">
        <v>18</v>
      </c>
      <c r="M118" t="str">
        <v>Malalengga (25Kg), Abd. Rahman (33Kg)</v>
      </c>
      <c r="N118">
        <v>58</v>
      </c>
      <c r="O118">
        <f>E118+G118+I118+K118</f>
      </c>
      <c r="P118">
        <f>F118+H118+J118+L118</f>
      </c>
      <c r="Q118">
        <f>N118</f>
      </c>
      <c r="R118">
        <f>O118+P118+Q118</f>
      </c>
      <c r="S118" t="str">
        <v>Petugas Kebersihan MANGKURA</v>
      </c>
      <c r="T118" t="str">
        <v>Data Resmi Oktober 2026</v>
      </c>
    </row>
    <row r="119">
      <c r="A119">
        <v>118</v>
      </c>
      <c r="B119" t="str">
        <v>2026-10-12</v>
      </c>
      <c r="C119" t="str">
        <v>73.71.01.1008</v>
      </c>
      <c r="D119" t="str">
        <v>Kelurahan Pisang Selatan</v>
      </c>
      <c r="E119">
        <v>7</v>
      </c>
      <c r="F119">
        <v>0</v>
      </c>
      <c r="G119">
        <v>4</v>
      </c>
      <c r="H119">
        <v>0</v>
      </c>
      <c r="I119">
        <v>1</v>
      </c>
      <c r="J119">
        <v>0</v>
      </c>
      <c r="K119">
        <v>4</v>
      </c>
      <c r="L119">
        <v>0</v>
      </c>
      <c r="M119" t="str">
        <v>-</v>
      </c>
      <c r="N119">
        <v>0</v>
      </c>
      <c r="O119">
        <f>E119+G119+I119+K119</f>
      </c>
      <c r="P119">
        <f>F119+H119+J119+L119</f>
      </c>
      <c r="Q119">
        <f>N119</f>
      </c>
      <c r="R119">
        <f>O119+P119+Q119</f>
      </c>
      <c r="S119" t="str">
        <v>Petugas Kebersihan PISANG SELATAN</v>
      </c>
      <c r="T119" t="str">
        <v>Data Resmi Oktober 2026</v>
      </c>
    </row>
    <row r="120">
      <c r="A120">
        <v>119</v>
      </c>
      <c r="B120" t="str">
        <v>2026-10-12</v>
      </c>
      <c r="C120" t="str">
        <v>73.71.01.1009</v>
      </c>
      <c r="D120" t="str">
        <v>Kelurahan Pisang Utara</v>
      </c>
      <c r="E120">
        <v>2</v>
      </c>
      <c r="F120">
        <v>15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tr">
        <v>-</v>
      </c>
      <c r="N120">
        <v>0</v>
      </c>
      <c r="O120">
        <f>E120+G120+I120+K120</f>
      </c>
      <c r="P120">
        <f>F120+H120+J120+L120</f>
      </c>
      <c r="Q120">
        <f>N120</f>
      </c>
      <c r="R120">
        <f>O120+P120+Q120</f>
      </c>
      <c r="S120" t="str">
        <v>Petugas Kebersihan PISANG UTARA</v>
      </c>
      <c r="T120" t="str">
        <v>Data Resmi Oktober 2026</v>
      </c>
    </row>
    <row r="121">
      <c r="A121">
        <v>120</v>
      </c>
      <c r="B121" t="str">
        <v>2026-10-12</v>
      </c>
      <c r="C121" t="str">
        <v>73.71.01.1010</v>
      </c>
      <c r="D121" t="str">
        <v>Kelurahan Sawerigading</v>
      </c>
      <c r="E121">
        <v>21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97</v>
      </c>
      <c r="L121">
        <v>0</v>
      </c>
      <c r="M121" t="str">
        <v>Nurdin Aco (32Kg)</v>
      </c>
      <c r="N121">
        <v>32</v>
      </c>
      <c r="O121">
        <f>E121+G121+I121+K121</f>
      </c>
      <c r="P121">
        <f>F121+H121+J121+L121</f>
      </c>
      <c r="Q121">
        <f>N121</f>
      </c>
      <c r="R121">
        <f>O121+P121+Q121</f>
      </c>
      <c r="S121" t="str">
        <v>Petugas Kebersihan SAWERIGADING</v>
      </c>
      <c r="T121" t="str">
        <v>Data Resmi Oktober 2026</v>
      </c>
    </row>
    <row r="122">
      <c r="A122">
        <v>121</v>
      </c>
      <c r="B122" t="str">
        <v>2026-10-13</v>
      </c>
      <c r="C122" t="str">
        <v>73.71.01.1001</v>
      </c>
      <c r="D122" t="str">
        <v>Kelurahan Baru</v>
      </c>
      <c r="E122">
        <v>163</v>
      </c>
      <c r="F122">
        <v>727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tr">
        <v>Musliadi (44Kg)</v>
      </c>
      <c r="N122">
        <v>44</v>
      </c>
      <c r="O122">
        <f>E122+G122+I122+K122</f>
      </c>
      <c r="P122">
        <f>F122+H122+J122+L122</f>
      </c>
      <c r="Q122">
        <f>N122</f>
      </c>
      <c r="R122">
        <f>O122+P122+Q122</f>
      </c>
      <c r="S122" t="str">
        <v>Petugas Kebersihan BARU</v>
      </c>
      <c r="T122" t="str">
        <v>Data Resmi Oktober 2026</v>
      </c>
    </row>
    <row r="123">
      <c r="A123">
        <v>122</v>
      </c>
      <c r="B123" t="str">
        <v>2026-10-13</v>
      </c>
      <c r="C123" t="str">
        <v>73.71.01.1002</v>
      </c>
      <c r="D123" t="str">
        <v>Kelurahan Bulogading</v>
      </c>
      <c r="E123">
        <v>40</v>
      </c>
      <c r="F123">
        <v>23</v>
      </c>
      <c r="G123">
        <v>11</v>
      </c>
      <c r="H123">
        <v>5</v>
      </c>
      <c r="I123">
        <v>8</v>
      </c>
      <c r="J123">
        <v>5</v>
      </c>
      <c r="K123">
        <v>50</v>
      </c>
      <c r="L123">
        <v>13</v>
      </c>
      <c r="M123" t="str">
        <v>Ansu (44Kg), Awal Wahid (34Kg)</v>
      </c>
      <c r="N123">
        <v>78</v>
      </c>
      <c r="O123">
        <f>E123+G123+I123+K123</f>
      </c>
      <c r="P123">
        <f>F123+H123+J123+L123</f>
      </c>
      <c r="Q123">
        <f>N123</f>
      </c>
      <c r="R123">
        <f>O123+P123+Q123</f>
      </c>
      <c r="S123" t="str">
        <v>Petugas Kebersihan BULOGADING</v>
      </c>
      <c r="T123" t="str">
        <v>Data Resmi Oktober 2026</v>
      </c>
    </row>
    <row r="124">
      <c r="A124">
        <v>123</v>
      </c>
      <c r="B124" t="str">
        <v>2026-10-13</v>
      </c>
      <c r="C124" t="str">
        <v>73.71.01.1003</v>
      </c>
      <c r="D124" t="str">
        <v>Kelurahan Lae-Lae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tr">
        <v>-</v>
      </c>
      <c r="N124">
        <v>0</v>
      </c>
      <c r="O124">
        <f>E124+G124+I124+K124</f>
      </c>
      <c r="P124">
        <f>F124+H124+J124+L124</f>
      </c>
      <c r="Q124">
        <f>N124</f>
      </c>
      <c r="R124">
        <f>O124+P124+Q124</f>
      </c>
      <c r="S124" t="str">
        <v>Petugas Kebersihan LAE-LAE</v>
      </c>
      <c r="T124" t="str">
        <v>Data Resmi Oktober 2026</v>
      </c>
    </row>
    <row r="125">
      <c r="A125">
        <v>124</v>
      </c>
      <c r="B125" t="str">
        <v>2026-10-13</v>
      </c>
      <c r="C125" t="str">
        <v>73.71.01.1004</v>
      </c>
      <c r="D125" t="str">
        <v>Kelurahan Lajangiru</v>
      </c>
      <c r="E125">
        <v>4</v>
      </c>
      <c r="F125">
        <v>0</v>
      </c>
      <c r="G125">
        <v>5</v>
      </c>
      <c r="H125">
        <v>0</v>
      </c>
      <c r="I125">
        <v>4</v>
      </c>
      <c r="J125">
        <v>0</v>
      </c>
      <c r="K125">
        <v>10</v>
      </c>
      <c r="L125">
        <v>0</v>
      </c>
      <c r="M125" t="str">
        <v>-</v>
      </c>
      <c r="N125">
        <v>0</v>
      </c>
      <c r="O125">
        <f>E125+G125+I125+K125</f>
      </c>
      <c r="P125">
        <f>F125+H125+J125+L125</f>
      </c>
      <c r="Q125">
        <f>N125</f>
      </c>
      <c r="R125">
        <f>O125+P125+Q125</f>
      </c>
      <c r="S125" t="str">
        <v>Petugas Kebersihan LAJANGIRU</v>
      </c>
      <c r="T125" t="str">
        <v>Data Resmi Oktober 2026</v>
      </c>
    </row>
    <row r="126">
      <c r="A126">
        <v>125</v>
      </c>
      <c r="B126" t="str">
        <v>2026-10-13</v>
      </c>
      <c r="C126" t="str">
        <v>73.71.01.1005</v>
      </c>
      <c r="D126" t="str">
        <v>Kelurahan Losari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68</v>
      </c>
      <c r="L126">
        <v>0</v>
      </c>
      <c r="M126" t="str">
        <v>Hasrul (25Kg)</v>
      </c>
      <c r="N126">
        <v>25</v>
      </c>
      <c r="O126">
        <f>E126+G126+I126+K126</f>
      </c>
      <c r="P126">
        <f>F126+H126+J126+L126</f>
      </c>
      <c r="Q126">
        <f>N126</f>
      </c>
      <c r="R126">
        <f>O126+P126+Q126</f>
      </c>
      <c r="S126" t="str">
        <v>Petugas Kebersihan LOSARI</v>
      </c>
      <c r="T126" t="str">
        <v>Data Resmi Oktober 2026</v>
      </c>
    </row>
    <row r="127">
      <c r="A127">
        <v>126</v>
      </c>
      <c r="B127" t="str">
        <v>2026-10-13</v>
      </c>
      <c r="C127" t="str">
        <v>73.71.01.1006</v>
      </c>
      <c r="D127" t="str">
        <v>Kelurahan Maloku</v>
      </c>
      <c r="E127">
        <v>14</v>
      </c>
      <c r="F127">
        <v>20</v>
      </c>
      <c r="G127">
        <v>0</v>
      </c>
      <c r="H127">
        <v>0</v>
      </c>
      <c r="I127">
        <v>4</v>
      </c>
      <c r="J127">
        <v>5</v>
      </c>
      <c r="K127">
        <v>8</v>
      </c>
      <c r="L127">
        <v>8</v>
      </c>
      <c r="M127" t="str">
        <v>Erwin (48Kg), Samsir (45Kg)</v>
      </c>
      <c r="N127">
        <v>93</v>
      </c>
      <c r="O127">
        <f>E127+G127+I127+K127</f>
      </c>
      <c r="P127">
        <f>F127+H127+J127+L127</f>
      </c>
      <c r="Q127">
        <f>N127</f>
      </c>
      <c r="R127">
        <f>O127+P127+Q127</f>
      </c>
      <c r="S127" t="str">
        <v>Petugas Kebersihan MALOKU</v>
      </c>
      <c r="T127" t="str">
        <v>Data Resmi Oktober 2026</v>
      </c>
    </row>
    <row r="128">
      <c r="A128">
        <v>127</v>
      </c>
      <c r="B128" t="str">
        <v>2026-10-13</v>
      </c>
      <c r="C128" t="str">
        <v>73.71.01.1007</v>
      </c>
      <c r="D128" t="str">
        <v>Kelurahan Mangkura</v>
      </c>
      <c r="E128">
        <v>41</v>
      </c>
      <c r="F128">
        <v>29</v>
      </c>
      <c r="G128">
        <v>22</v>
      </c>
      <c r="H128">
        <v>15</v>
      </c>
      <c r="I128">
        <v>5</v>
      </c>
      <c r="J128">
        <v>4</v>
      </c>
      <c r="K128">
        <v>27</v>
      </c>
      <c r="L128">
        <v>18</v>
      </c>
      <c r="M128" t="str">
        <v>Malalengga (26Kg), Abd. Rahman (34Kg)</v>
      </c>
      <c r="N128">
        <v>60</v>
      </c>
      <c r="O128">
        <f>E128+G128+I128+K128</f>
      </c>
      <c r="P128">
        <f>F128+H128+J128+L128</f>
      </c>
      <c r="Q128">
        <f>N128</f>
      </c>
      <c r="R128">
        <f>O128+P128+Q128</f>
      </c>
      <c r="S128" t="str">
        <v>Petugas Kebersihan MANGKURA</v>
      </c>
      <c r="T128" t="str">
        <v>Data Resmi Oktober 2026</v>
      </c>
    </row>
    <row r="129">
      <c r="A129">
        <v>128</v>
      </c>
      <c r="B129" t="str">
        <v>2026-10-13</v>
      </c>
      <c r="C129" t="str">
        <v>73.71.01.1008</v>
      </c>
      <c r="D129" t="str">
        <v>Kelurahan Pisang Selatan</v>
      </c>
      <c r="E129">
        <v>8</v>
      </c>
      <c r="F129">
        <v>0</v>
      </c>
      <c r="G129">
        <v>4</v>
      </c>
      <c r="H129">
        <v>0</v>
      </c>
      <c r="I129">
        <v>1</v>
      </c>
      <c r="J129">
        <v>0</v>
      </c>
      <c r="K129">
        <v>4</v>
      </c>
      <c r="L129">
        <v>0</v>
      </c>
      <c r="M129" t="str">
        <v>-</v>
      </c>
      <c r="N129">
        <v>0</v>
      </c>
      <c r="O129">
        <f>E129+G129+I129+K129</f>
      </c>
      <c r="P129">
        <f>F129+H129+J129+L129</f>
      </c>
      <c r="Q129">
        <f>N129</f>
      </c>
      <c r="R129">
        <f>O129+P129+Q129</f>
      </c>
      <c r="S129" t="str">
        <v>Petugas Kebersihan PISANG SELATAN</v>
      </c>
      <c r="T129" t="str">
        <v>Data Resmi Oktober 2026</v>
      </c>
    </row>
    <row r="130">
      <c r="A130">
        <v>129</v>
      </c>
      <c r="B130" t="str">
        <v>2026-10-13</v>
      </c>
      <c r="C130" t="str">
        <v>73.71.01.1009</v>
      </c>
      <c r="D130" t="str">
        <v>Kelurahan Pisang Utara</v>
      </c>
      <c r="E130">
        <v>2</v>
      </c>
      <c r="F130">
        <v>15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tr">
        <v>-</v>
      </c>
      <c r="N130">
        <v>0</v>
      </c>
      <c r="O130">
        <f>E130+G130+I130+K130</f>
      </c>
      <c r="P130">
        <f>F130+H130+J130+L130</f>
      </c>
      <c r="Q130">
        <f>N130</f>
      </c>
      <c r="R130">
        <f>O130+P130+Q130</f>
      </c>
      <c r="S130" t="str">
        <v>Petugas Kebersihan PISANG UTARA</v>
      </c>
      <c r="T130" t="str">
        <v>Data Resmi Oktober 2026</v>
      </c>
    </row>
    <row r="131">
      <c r="A131">
        <v>130</v>
      </c>
      <c r="B131" t="str">
        <v>2026-10-13</v>
      </c>
      <c r="C131" t="str">
        <v>73.71.01.1010</v>
      </c>
      <c r="D131" t="str">
        <v>Kelurahan Sawerigading</v>
      </c>
      <c r="E131">
        <v>22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100</v>
      </c>
      <c r="L131">
        <v>0</v>
      </c>
      <c r="M131" t="str">
        <v>Nurdin Aco (33Kg)</v>
      </c>
      <c r="N131">
        <v>33</v>
      </c>
      <c r="O131">
        <f>E131+G131+I131+K131</f>
      </c>
      <c r="P131">
        <f>F131+H131+J131+L131</f>
      </c>
      <c r="Q131">
        <f>N131</f>
      </c>
      <c r="R131">
        <f>O131+P131+Q131</f>
      </c>
      <c r="S131" t="str">
        <v>Petugas Kebersihan SAWERIGADING</v>
      </c>
      <c r="T131" t="str">
        <v>Data Resmi Oktober 2026</v>
      </c>
    </row>
    <row r="132">
      <c r="A132">
        <v>131</v>
      </c>
      <c r="B132" t="str">
        <v>2026-10-14</v>
      </c>
      <c r="C132" t="str">
        <v>73.71.01.1001</v>
      </c>
      <c r="D132" t="str">
        <v>Kelurahan Baru</v>
      </c>
      <c r="E132">
        <v>174</v>
      </c>
      <c r="F132">
        <v>780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tr">
        <v>Musliadi (47Kg)</v>
      </c>
      <c r="N132">
        <v>47</v>
      </c>
      <c r="O132">
        <f>E132+G132+I132+K132</f>
      </c>
      <c r="P132">
        <f>F132+H132+J132+L132</f>
      </c>
      <c r="Q132">
        <f>N132</f>
      </c>
      <c r="R132">
        <f>O132+P132+Q132</f>
      </c>
      <c r="S132" t="str">
        <v>Petugas Kebersihan BARU</v>
      </c>
      <c r="T132" t="str">
        <v>Data Resmi Oktober 2026</v>
      </c>
    </row>
    <row r="133">
      <c r="A133">
        <v>132</v>
      </c>
      <c r="B133" t="str">
        <v>2026-10-14</v>
      </c>
      <c r="C133" t="str">
        <v>73.71.01.1002</v>
      </c>
      <c r="D133" t="str">
        <v>Kelurahan Bulogading</v>
      </c>
      <c r="E133">
        <v>43</v>
      </c>
      <c r="F133">
        <v>25</v>
      </c>
      <c r="G133">
        <v>12</v>
      </c>
      <c r="H133">
        <v>6</v>
      </c>
      <c r="I133">
        <v>9</v>
      </c>
      <c r="J133">
        <v>5</v>
      </c>
      <c r="K133">
        <v>53</v>
      </c>
      <c r="L133">
        <v>14</v>
      </c>
      <c r="M133" t="str">
        <v>Ansu (47Kg), Awal Wahid (37Kg)</v>
      </c>
      <c r="N133">
        <v>84</v>
      </c>
      <c r="O133">
        <f>E133+G133+I133+K133</f>
      </c>
      <c r="P133">
        <f>F133+H133+J133+L133</f>
      </c>
      <c r="Q133">
        <f>N133</f>
      </c>
      <c r="R133">
        <f>O133+P133+Q133</f>
      </c>
      <c r="S133" t="str">
        <v>Petugas Kebersihan BULOGADING</v>
      </c>
      <c r="T133" t="str">
        <v>Data Resmi Oktober 2026</v>
      </c>
    </row>
    <row r="134">
      <c r="A134">
        <v>133</v>
      </c>
      <c r="B134" t="str">
        <v>2026-10-14</v>
      </c>
      <c r="C134" t="str">
        <v>73.71.01.1003</v>
      </c>
      <c r="D134" t="str">
        <v>Kelurahan Lae-Lae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tr">
        <v>-</v>
      </c>
      <c r="N134">
        <v>0</v>
      </c>
      <c r="O134">
        <f>E134+G134+I134+K134</f>
      </c>
      <c r="P134">
        <f>F134+H134+J134+L134</f>
      </c>
      <c r="Q134">
        <f>N134</f>
      </c>
      <c r="R134">
        <f>O134+P134+Q134</f>
      </c>
      <c r="S134" t="str">
        <v>Petugas Kebersihan LAE-LAE</v>
      </c>
      <c r="T134" t="str">
        <v>Data Resmi Oktober 2026</v>
      </c>
    </row>
    <row r="135">
      <c r="A135">
        <v>134</v>
      </c>
      <c r="B135" t="str">
        <v>2026-10-14</v>
      </c>
      <c r="C135" t="str">
        <v>73.71.01.1004</v>
      </c>
      <c r="D135" t="str">
        <v>Kelurahan Lajangiru</v>
      </c>
      <c r="E135">
        <v>4</v>
      </c>
      <c r="F135">
        <v>0</v>
      </c>
      <c r="G135">
        <v>6</v>
      </c>
      <c r="H135">
        <v>0</v>
      </c>
      <c r="I135">
        <v>4</v>
      </c>
      <c r="J135">
        <v>0</v>
      </c>
      <c r="K135">
        <v>10</v>
      </c>
      <c r="L135">
        <v>0</v>
      </c>
      <c r="M135" t="str">
        <v>-</v>
      </c>
      <c r="N135">
        <v>0</v>
      </c>
      <c r="O135">
        <f>E135+G135+I135+K135</f>
      </c>
      <c r="P135">
        <f>F135+H135+J135+L135</f>
      </c>
      <c r="Q135">
        <f>N135</f>
      </c>
      <c r="R135">
        <f>O135+P135+Q135</f>
      </c>
      <c r="S135" t="str">
        <v>Petugas Kebersihan LAJANGIRU</v>
      </c>
      <c r="T135" t="str">
        <v>Data Resmi Oktober 2026</v>
      </c>
    </row>
    <row r="136">
      <c r="A136">
        <v>135</v>
      </c>
      <c r="B136" t="str">
        <v>2026-10-14</v>
      </c>
      <c r="C136" t="str">
        <v>73.71.01.1005</v>
      </c>
      <c r="D136" t="str">
        <v>Kelurahan Losari</v>
      </c>
      <c r="E136">
        <v>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73</v>
      </c>
      <c r="L136">
        <v>0</v>
      </c>
      <c r="M136" t="str">
        <v>Hasrul (27Kg)</v>
      </c>
      <c r="N136">
        <v>27</v>
      </c>
      <c r="O136">
        <f>E136+G136+I136+K136</f>
      </c>
      <c r="P136">
        <f>F136+H136+J136+L136</f>
      </c>
      <c r="Q136">
        <f>N136</f>
      </c>
      <c r="R136">
        <f>O136+P136+Q136</f>
      </c>
      <c r="S136" t="str">
        <v>Petugas Kebersihan LOSARI</v>
      </c>
      <c r="T136" t="str">
        <v>Data Resmi Oktober 2026</v>
      </c>
    </row>
    <row r="137">
      <c r="A137">
        <v>136</v>
      </c>
      <c r="B137" t="str">
        <v>2026-10-14</v>
      </c>
      <c r="C137" t="str">
        <v>73.71.01.1006</v>
      </c>
      <c r="D137" t="str">
        <v>Kelurahan Maloku</v>
      </c>
      <c r="E137">
        <v>16</v>
      </c>
      <c r="F137">
        <v>21</v>
      </c>
      <c r="G137">
        <v>0</v>
      </c>
      <c r="H137">
        <v>0</v>
      </c>
      <c r="I137">
        <v>4</v>
      </c>
      <c r="J137">
        <v>5</v>
      </c>
      <c r="K137">
        <v>9</v>
      </c>
      <c r="L137">
        <v>8</v>
      </c>
      <c r="M137" t="str">
        <v>Erwin (51Kg), Samsir (48Kg)</v>
      </c>
      <c r="N137">
        <v>99</v>
      </c>
      <c r="O137">
        <f>E137+G137+I137+K137</f>
      </c>
      <c r="P137">
        <f>F137+H137+J137+L137</f>
      </c>
      <c r="Q137">
        <f>N137</f>
      </c>
      <c r="R137">
        <f>O137+P137+Q137</f>
      </c>
      <c r="S137" t="str">
        <v>Petugas Kebersihan MALOKU</v>
      </c>
      <c r="T137" t="str">
        <v>Data Resmi Oktober 2026</v>
      </c>
    </row>
    <row r="138">
      <c r="A138">
        <v>137</v>
      </c>
      <c r="B138" t="str">
        <v>2026-10-14</v>
      </c>
      <c r="C138" t="str">
        <v>73.71.01.1007</v>
      </c>
      <c r="D138" t="str">
        <v>Kelurahan Mangkura</v>
      </c>
      <c r="E138">
        <v>44</v>
      </c>
      <c r="F138">
        <v>32</v>
      </c>
      <c r="G138">
        <v>24</v>
      </c>
      <c r="H138">
        <v>16</v>
      </c>
      <c r="I138">
        <v>6</v>
      </c>
      <c r="J138">
        <v>4</v>
      </c>
      <c r="K138">
        <v>29</v>
      </c>
      <c r="L138">
        <v>20</v>
      </c>
      <c r="M138" t="str">
        <v>Malalengga (28Kg), Abd. Rahman (37Kg)</v>
      </c>
      <c r="N138">
        <v>65</v>
      </c>
      <c r="O138">
        <f>E138+G138+I138+K138</f>
      </c>
      <c r="P138">
        <f>F138+H138+J138+L138</f>
      </c>
      <c r="Q138">
        <f>N138</f>
      </c>
      <c r="R138">
        <f>O138+P138+Q138</f>
      </c>
      <c r="S138" t="str">
        <v>Petugas Kebersihan MANGKURA</v>
      </c>
      <c r="T138" t="str">
        <v>Data Resmi Oktober 2026</v>
      </c>
    </row>
    <row r="139">
      <c r="A139">
        <v>138</v>
      </c>
      <c r="B139" t="str">
        <v>2026-10-14</v>
      </c>
      <c r="C139" t="str">
        <v>73.71.01.1008</v>
      </c>
      <c r="D139" t="str">
        <v>Kelurahan Pisang Selatan</v>
      </c>
      <c r="E139">
        <v>8</v>
      </c>
      <c r="F139">
        <v>0</v>
      </c>
      <c r="G139">
        <v>4</v>
      </c>
      <c r="H139">
        <v>0</v>
      </c>
      <c r="I139">
        <v>1</v>
      </c>
      <c r="J139">
        <v>0</v>
      </c>
      <c r="K139">
        <v>5</v>
      </c>
      <c r="L139">
        <v>0</v>
      </c>
      <c r="M139" t="str">
        <v>-</v>
      </c>
      <c r="N139">
        <v>0</v>
      </c>
      <c r="O139">
        <f>E139+G139+I139+K139</f>
      </c>
      <c r="P139">
        <f>F139+H139+J139+L139</f>
      </c>
      <c r="Q139">
        <f>N139</f>
      </c>
      <c r="R139">
        <f>O139+P139+Q139</f>
      </c>
      <c r="S139" t="str">
        <v>Petugas Kebersihan PISANG SELATAN</v>
      </c>
      <c r="T139" t="str">
        <v>Data Resmi Oktober 2026</v>
      </c>
    </row>
    <row r="140">
      <c r="A140">
        <v>139</v>
      </c>
      <c r="B140" t="str">
        <v>2026-10-14</v>
      </c>
      <c r="C140" t="str">
        <v>73.71.01.1009</v>
      </c>
      <c r="D140" t="str">
        <v>Kelurahan Pisang Utara</v>
      </c>
      <c r="E140">
        <v>3</v>
      </c>
      <c r="F140">
        <v>16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tr">
        <v>-</v>
      </c>
      <c r="N140">
        <v>0</v>
      </c>
      <c r="O140">
        <f>E140+G140+I140+K140</f>
      </c>
      <c r="P140">
        <f>F140+H140+J140+L140</f>
      </c>
      <c r="Q140">
        <f>N140</f>
      </c>
      <c r="R140">
        <f>O140+P140+Q140</f>
      </c>
      <c r="S140" t="str">
        <v>Petugas Kebersihan PISANG UTARA</v>
      </c>
      <c r="T140" t="str">
        <v>Data Resmi Oktober 2026</v>
      </c>
    </row>
    <row r="141">
      <c r="A141">
        <v>140</v>
      </c>
      <c r="B141" t="str">
        <v>2026-10-14</v>
      </c>
      <c r="C141" t="str">
        <v>73.71.01.1010</v>
      </c>
      <c r="D141" t="str">
        <v>Kelurahan Sawerigading</v>
      </c>
      <c r="E141">
        <v>23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107</v>
      </c>
      <c r="L141">
        <v>0</v>
      </c>
      <c r="M141" t="str">
        <v>Nurdin Aco (36Kg)</v>
      </c>
      <c r="N141">
        <v>36</v>
      </c>
      <c r="O141">
        <f>E141+G141+I141+K141</f>
      </c>
      <c r="P141">
        <f>F141+H141+J141+L141</f>
      </c>
      <c r="Q141">
        <f>N141</f>
      </c>
      <c r="R141">
        <f>O141+P141+Q141</f>
      </c>
      <c r="S141" t="str">
        <v>Petugas Kebersihan SAWERIGADING</v>
      </c>
      <c r="T141" t="str">
        <v>Data Resmi Oktober 2026</v>
      </c>
    </row>
    <row r="142">
      <c r="A142">
        <v>141</v>
      </c>
      <c r="B142" t="str">
        <v>2026-10-15</v>
      </c>
      <c r="C142" t="str">
        <v>73.71.01.1001</v>
      </c>
      <c r="D142" t="str">
        <v>Kelurahan Baru</v>
      </c>
      <c r="E142">
        <v>168</v>
      </c>
      <c r="F142">
        <v>750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tr">
        <v>Musliadi (45Kg)</v>
      </c>
      <c r="N142">
        <v>45</v>
      </c>
      <c r="O142">
        <f>E142+G142+I142+K142</f>
      </c>
      <c r="P142">
        <f>F142+H142+J142+L142</f>
      </c>
      <c r="Q142">
        <f>N142</f>
      </c>
      <c r="R142">
        <f>O142+P142+Q142</f>
      </c>
      <c r="S142" t="str">
        <v>Petugas Kebersihan BARU</v>
      </c>
      <c r="T142" t="str">
        <v>Data Resmi Oktober 2026</v>
      </c>
    </row>
    <row r="143">
      <c r="A143">
        <v>142</v>
      </c>
      <c r="B143" t="str">
        <v>2026-10-15</v>
      </c>
      <c r="C143" t="str">
        <v>73.71.01.1002</v>
      </c>
      <c r="D143" t="str">
        <v>Kelurahan Bulogading</v>
      </c>
      <c r="E143">
        <v>41</v>
      </c>
      <c r="F143">
        <v>24</v>
      </c>
      <c r="G143">
        <v>12</v>
      </c>
      <c r="H143">
        <v>6</v>
      </c>
      <c r="I143">
        <v>8</v>
      </c>
      <c r="J143">
        <v>5</v>
      </c>
      <c r="K143">
        <v>51</v>
      </c>
      <c r="L143">
        <v>13</v>
      </c>
      <c r="M143" t="str">
        <v>Ansu (45Kg), Awal Wahid (35Kg)</v>
      </c>
      <c r="N143">
        <v>80</v>
      </c>
      <c r="O143">
        <f>E143+G143+I143+K143</f>
      </c>
      <c r="P143">
        <f>F143+H143+J143+L143</f>
      </c>
      <c r="Q143">
        <f>N143</f>
      </c>
      <c r="R143">
        <f>O143+P143+Q143</f>
      </c>
      <c r="S143" t="str">
        <v>Petugas Kebersihan BULOGADING</v>
      </c>
      <c r="T143" t="str">
        <v>Data Resmi Oktober 2026</v>
      </c>
    </row>
    <row r="144">
      <c r="A144">
        <v>143</v>
      </c>
      <c r="B144" t="str">
        <v>2026-10-15</v>
      </c>
      <c r="C144" t="str">
        <v>73.71.01.1003</v>
      </c>
      <c r="D144" t="str">
        <v>Kelurahan Lae-Lae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tr">
        <v>-</v>
      </c>
      <c r="N144">
        <v>0</v>
      </c>
      <c r="O144">
        <f>E144+G144+I144+K144</f>
      </c>
      <c r="P144">
        <f>F144+H144+J144+L144</f>
      </c>
      <c r="Q144">
        <f>N144</f>
      </c>
      <c r="R144">
        <f>O144+P144+Q144</f>
      </c>
      <c r="S144" t="str">
        <v>Petugas Kebersihan LAE-LAE</v>
      </c>
      <c r="T144" t="str">
        <v>Data Resmi Oktober 2026</v>
      </c>
    </row>
    <row r="145">
      <c r="A145">
        <v>144</v>
      </c>
      <c r="B145" t="str">
        <v>2026-10-15</v>
      </c>
      <c r="C145" t="str">
        <v>73.71.01.1004</v>
      </c>
      <c r="D145" t="str">
        <v>Kelurahan Lajangiru</v>
      </c>
      <c r="E145">
        <v>4</v>
      </c>
      <c r="F145">
        <v>0</v>
      </c>
      <c r="G145">
        <v>5</v>
      </c>
      <c r="H145">
        <v>0</v>
      </c>
      <c r="I145">
        <v>4</v>
      </c>
      <c r="J145">
        <v>0</v>
      </c>
      <c r="K145">
        <v>10</v>
      </c>
      <c r="L145">
        <v>0</v>
      </c>
      <c r="M145" t="str">
        <v>-</v>
      </c>
      <c r="N145">
        <v>0</v>
      </c>
      <c r="O145">
        <f>E145+G145+I145+K145</f>
      </c>
      <c r="P145">
        <f>F145+H145+J145+L145</f>
      </c>
      <c r="Q145">
        <f>N145</f>
      </c>
      <c r="R145">
        <f>O145+P145+Q145</f>
      </c>
      <c r="S145" t="str">
        <v>Petugas Kebersihan LAJANGIRU</v>
      </c>
      <c r="T145" t="str">
        <v>Data Resmi Oktober 2026</v>
      </c>
    </row>
    <row r="146">
      <c r="A146">
        <v>145</v>
      </c>
      <c r="B146" t="str">
        <v>2026-10-15</v>
      </c>
      <c r="C146" t="str">
        <v>73.71.01.1005</v>
      </c>
      <c r="D146" t="str">
        <v>Kelurahan Losari</v>
      </c>
      <c r="E146">
        <v>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70</v>
      </c>
      <c r="L146">
        <v>0</v>
      </c>
      <c r="M146" t="str">
        <v>Hasrul (26Kg)</v>
      </c>
      <c r="N146">
        <v>26</v>
      </c>
      <c r="O146">
        <f>E146+G146+I146+K146</f>
      </c>
      <c r="P146">
        <f>F146+H146+J146+L146</f>
      </c>
      <c r="Q146">
        <f>N146</f>
      </c>
      <c r="R146">
        <f>O146+P146+Q146</f>
      </c>
      <c r="S146" t="str">
        <v>Petugas Kebersihan LOSARI</v>
      </c>
      <c r="T146" t="str">
        <v>Data Resmi Oktober 2026</v>
      </c>
    </row>
    <row r="147">
      <c r="A147">
        <v>146</v>
      </c>
      <c r="B147" t="str">
        <v>2026-10-15</v>
      </c>
      <c r="C147" t="str">
        <v>73.71.01.1006</v>
      </c>
      <c r="D147" t="str">
        <v>Kelurahan Maloku</v>
      </c>
      <c r="E147">
        <v>15</v>
      </c>
      <c r="F147">
        <v>21</v>
      </c>
      <c r="G147">
        <v>0</v>
      </c>
      <c r="H147">
        <v>0</v>
      </c>
      <c r="I147">
        <v>4</v>
      </c>
      <c r="J147">
        <v>5</v>
      </c>
      <c r="K147">
        <v>8</v>
      </c>
      <c r="L147">
        <v>8</v>
      </c>
      <c r="M147" t="str">
        <v>Erwin (49Kg), Samsir (46Kg)</v>
      </c>
      <c r="N147">
        <v>95</v>
      </c>
      <c r="O147">
        <f>E147+G147+I147+K147</f>
      </c>
      <c r="P147">
        <f>F147+H147+J147+L147</f>
      </c>
      <c r="Q147">
        <f>N147</f>
      </c>
      <c r="R147">
        <f>O147+P147+Q147</f>
      </c>
      <c r="S147" t="str">
        <v>Petugas Kebersihan MALOKU</v>
      </c>
      <c r="T147" t="str">
        <v>Data Resmi Oktober 2026</v>
      </c>
    </row>
    <row r="148">
      <c r="A148">
        <v>147</v>
      </c>
      <c r="B148" t="str">
        <v>2026-10-15</v>
      </c>
      <c r="C148" t="str">
        <v>73.71.01.1007</v>
      </c>
      <c r="D148" t="str">
        <v>Kelurahan Mangkura</v>
      </c>
      <c r="E148">
        <v>42</v>
      </c>
      <c r="F148">
        <v>30</v>
      </c>
      <c r="G148">
        <v>23</v>
      </c>
      <c r="H148">
        <v>15</v>
      </c>
      <c r="I148">
        <v>5</v>
      </c>
      <c r="J148">
        <v>4</v>
      </c>
      <c r="K148">
        <v>28</v>
      </c>
      <c r="L148">
        <v>19</v>
      </c>
      <c r="M148" t="str">
        <v>Malalengga (27Kg), Abd. Rahman (35Kg)</v>
      </c>
      <c r="N148">
        <v>62</v>
      </c>
      <c r="O148">
        <f>E148+G148+I148+K148</f>
      </c>
      <c r="P148">
        <f>F148+H148+J148+L148</f>
      </c>
      <c r="Q148">
        <f>N148</f>
      </c>
      <c r="R148">
        <f>O148+P148+Q148</f>
      </c>
      <c r="S148" t="str">
        <v>Petugas Kebersihan MANGKURA</v>
      </c>
      <c r="T148" t="str">
        <v>Data Resmi Oktober 2026</v>
      </c>
    </row>
    <row r="149">
      <c r="A149">
        <v>148</v>
      </c>
      <c r="B149" t="str">
        <v>2026-10-15</v>
      </c>
      <c r="C149" t="str">
        <v>73.71.01.1008</v>
      </c>
      <c r="D149" t="str">
        <v>Kelurahan Pisang Selatan</v>
      </c>
      <c r="E149">
        <v>8</v>
      </c>
      <c r="F149">
        <v>0</v>
      </c>
      <c r="G149">
        <v>4</v>
      </c>
      <c r="H149">
        <v>0</v>
      </c>
      <c r="I149">
        <v>1</v>
      </c>
      <c r="J149">
        <v>0</v>
      </c>
      <c r="K149">
        <v>4</v>
      </c>
      <c r="L149">
        <v>0</v>
      </c>
      <c r="M149" t="str">
        <v>-</v>
      </c>
      <c r="N149">
        <v>0</v>
      </c>
      <c r="O149">
        <f>E149+G149+I149+K149</f>
      </c>
      <c r="P149">
        <f>F149+H149+J149+L149</f>
      </c>
      <c r="Q149">
        <f>N149</f>
      </c>
      <c r="R149">
        <f>O149+P149+Q149</f>
      </c>
      <c r="S149" t="str">
        <v>Petugas Kebersihan PISANG SELATAN</v>
      </c>
      <c r="T149" t="str">
        <v>Data Resmi Oktober 2026</v>
      </c>
    </row>
    <row r="150">
      <c r="A150">
        <v>149</v>
      </c>
      <c r="B150" t="str">
        <v>2026-10-15</v>
      </c>
      <c r="C150" t="str">
        <v>73.71.01.1009</v>
      </c>
      <c r="D150" t="str">
        <v>Kelurahan Pisang Utara</v>
      </c>
      <c r="E150">
        <v>3</v>
      </c>
      <c r="F150">
        <v>16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tr">
        <v>-</v>
      </c>
      <c r="N150">
        <v>0</v>
      </c>
      <c r="O150">
        <f>E150+G150+I150+K150</f>
      </c>
      <c r="P150">
        <f>F150+H150+J150+L150</f>
      </c>
      <c r="Q150">
        <f>N150</f>
      </c>
      <c r="R150">
        <f>O150+P150+Q150</f>
      </c>
      <c r="S150" t="str">
        <v>Petugas Kebersihan PISANG UTARA</v>
      </c>
      <c r="T150" t="str">
        <v>Data Resmi Oktober 2026</v>
      </c>
    </row>
    <row r="151">
      <c r="A151">
        <v>150</v>
      </c>
      <c r="B151" t="str">
        <v>2026-10-15</v>
      </c>
      <c r="C151" t="str">
        <v>73.71.01.1010</v>
      </c>
      <c r="D151" t="str">
        <v>Kelurahan Sawerigading</v>
      </c>
      <c r="E151">
        <v>22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103</v>
      </c>
      <c r="L151">
        <v>0</v>
      </c>
      <c r="M151" t="str">
        <v>Nurdin Aco (34Kg)</v>
      </c>
      <c r="N151">
        <v>34</v>
      </c>
      <c r="O151">
        <f>E151+G151+I151+K151</f>
      </c>
      <c r="P151">
        <f>F151+H151+J151+L151</f>
      </c>
      <c r="Q151">
        <f>N151</f>
      </c>
      <c r="R151">
        <f>O151+P151+Q151</f>
      </c>
      <c r="S151" t="str">
        <v>Petugas Kebersihan SAWERIGADING</v>
      </c>
      <c r="T151" t="str">
        <v>Data Resmi Oktober 2026</v>
      </c>
    </row>
    <row r="152">
      <c r="A152">
        <v>151</v>
      </c>
      <c r="B152" t="str">
        <v>2026-10-16</v>
      </c>
      <c r="C152" t="str">
        <v>73.71.01.1001</v>
      </c>
      <c r="D152" t="str">
        <v>Kelurahan Baru</v>
      </c>
      <c r="E152">
        <v>171</v>
      </c>
      <c r="F152">
        <v>765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tr">
        <v>Musliadi (46Kg)</v>
      </c>
      <c r="N152">
        <v>46</v>
      </c>
      <c r="O152">
        <f>E152+G152+I152+K152</f>
      </c>
      <c r="P152">
        <f>F152+H152+J152+L152</f>
      </c>
      <c r="Q152">
        <f>N152</f>
      </c>
      <c r="R152">
        <f>O152+P152+Q152</f>
      </c>
      <c r="S152" t="str">
        <v>Petugas Kebersihan BARU</v>
      </c>
      <c r="T152" t="str">
        <v>Data Resmi Oktober 2026</v>
      </c>
    </row>
    <row r="153">
      <c r="A153">
        <v>152</v>
      </c>
      <c r="B153" t="str">
        <v>2026-10-16</v>
      </c>
      <c r="C153" t="str">
        <v>73.71.01.1002</v>
      </c>
      <c r="D153" t="str">
        <v>Kelurahan Bulogading</v>
      </c>
      <c r="E153">
        <v>42</v>
      </c>
      <c r="F153">
        <v>25</v>
      </c>
      <c r="G153">
        <v>12</v>
      </c>
      <c r="H153">
        <v>6</v>
      </c>
      <c r="I153">
        <v>9</v>
      </c>
      <c r="J153">
        <v>5</v>
      </c>
      <c r="K153">
        <v>52</v>
      </c>
      <c r="L153">
        <v>13</v>
      </c>
      <c r="M153" t="str">
        <v>Ansu (46Kg), Awal Wahid (36Kg)</v>
      </c>
      <c r="N153">
        <v>82</v>
      </c>
      <c r="O153">
        <f>E153+G153+I153+K153</f>
      </c>
      <c r="P153">
        <f>F153+H153+J153+L153</f>
      </c>
      <c r="Q153">
        <f>N153</f>
      </c>
      <c r="R153">
        <f>O153+P153+Q153</f>
      </c>
      <c r="S153" t="str">
        <v>Petugas Kebersihan BULOGADING</v>
      </c>
      <c r="T153" t="str">
        <v>Data Resmi Oktober 2026</v>
      </c>
    </row>
    <row r="154">
      <c r="A154">
        <v>153</v>
      </c>
      <c r="B154" t="str">
        <v>2026-10-16</v>
      </c>
      <c r="C154" t="str">
        <v>73.71.01.1003</v>
      </c>
      <c r="D154" t="str">
        <v>Kelurahan Lae-Lae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tr">
        <v>-</v>
      </c>
      <c r="N154">
        <v>0</v>
      </c>
      <c r="O154">
        <f>E154+G154+I154+K154</f>
      </c>
      <c r="P154">
        <f>F154+H154+J154+L154</f>
      </c>
      <c r="Q154">
        <f>N154</f>
      </c>
      <c r="R154">
        <f>O154+P154+Q154</f>
      </c>
      <c r="S154" t="str">
        <v>Petugas Kebersihan LAE-LAE</v>
      </c>
      <c r="T154" t="str">
        <v>Data Resmi Oktober 2026</v>
      </c>
    </row>
    <row r="155">
      <c r="A155">
        <v>154</v>
      </c>
      <c r="B155" t="str">
        <v>2026-10-16</v>
      </c>
      <c r="C155" t="str">
        <v>73.71.01.1004</v>
      </c>
      <c r="D155" t="str">
        <v>Kelurahan Lajangiru</v>
      </c>
      <c r="E155">
        <v>4</v>
      </c>
      <c r="F155">
        <v>0</v>
      </c>
      <c r="G155">
        <v>5</v>
      </c>
      <c r="H155">
        <v>0</v>
      </c>
      <c r="I155">
        <v>4</v>
      </c>
      <c r="J155">
        <v>0</v>
      </c>
      <c r="K155">
        <v>10</v>
      </c>
      <c r="L155">
        <v>0</v>
      </c>
      <c r="M155" t="str">
        <v>-</v>
      </c>
      <c r="N155">
        <v>0</v>
      </c>
      <c r="O155">
        <f>E155+G155+I155+K155</f>
      </c>
      <c r="P155">
        <f>F155+H155+J155+L155</f>
      </c>
      <c r="Q155">
        <f>N155</f>
      </c>
      <c r="R155">
        <f>O155+P155+Q155</f>
      </c>
      <c r="S155" t="str">
        <v>Petugas Kebersihan LAJANGIRU</v>
      </c>
      <c r="T155" t="str">
        <v>Data Resmi Oktober 2026</v>
      </c>
    </row>
    <row r="156">
      <c r="A156">
        <v>155</v>
      </c>
      <c r="B156" t="str">
        <v>2026-10-16</v>
      </c>
      <c r="C156" t="str">
        <v>73.71.01.1005</v>
      </c>
      <c r="D156" t="str">
        <v>Kelurahan Losari</v>
      </c>
      <c r="E156">
        <v>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71</v>
      </c>
      <c r="L156">
        <v>0</v>
      </c>
      <c r="M156" t="str">
        <v>Hasrul (26Kg)</v>
      </c>
      <c r="N156">
        <v>26</v>
      </c>
      <c r="O156">
        <f>E156+G156+I156+K156</f>
      </c>
      <c r="P156">
        <f>F156+H156+J156+L156</f>
      </c>
      <c r="Q156">
        <f>N156</f>
      </c>
      <c r="R156">
        <f>O156+P156+Q156</f>
      </c>
      <c r="S156" t="str">
        <v>Petugas Kebersihan LOSARI</v>
      </c>
      <c r="T156" t="str">
        <v>Data Resmi Oktober 2026</v>
      </c>
    </row>
    <row r="157">
      <c r="A157">
        <v>156</v>
      </c>
      <c r="B157" t="str">
        <v>2026-10-16</v>
      </c>
      <c r="C157" t="str">
        <v>73.71.01.1006</v>
      </c>
      <c r="D157" t="str">
        <v>Kelurahan Maloku</v>
      </c>
      <c r="E157">
        <v>15</v>
      </c>
      <c r="F157">
        <v>21</v>
      </c>
      <c r="G157">
        <v>0</v>
      </c>
      <c r="H157">
        <v>0</v>
      </c>
      <c r="I157">
        <v>4</v>
      </c>
      <c r="J157">
        <v>5</v>
      </c>
      <c r="K157">
        <v>8</v>
      </c>
      <c r="L157">
        <v>8</v>
      </c>
      <c r="M157" t="str">
        <v>Erwin (50Kg), Samsir (47Kg)</v>
      </c>
      <c r="N157">
        <v>97</v>
      </c>
      <c r="O157">
        <f>E157+G157+I157+K157</f>
      </c>
      <c r="P157">
        <f>F157+H157+J157+L157</f>
      </c>
      <c r="Q157">
        <f>N157</f>
      </c>
      <c r="R157">
        <f>O157+P157+Q157</f>
      </c>
      <c r="S157" t="str">
        <v>Petugas Kebersihan MALOKU</v>
      </c>
      <c r="T157" t="str">
        <v>Data Resmi Oktober 2026</v>
      </c>
    </row>
    <row r="158">
      <c r="A158">
        <v>157</v>
      </c>
      <c r="B158" t="str">
        <v>2026-10-16</v>
      </c>
      <c r="C158" t="str">
        <v>73.71.01.1007</v>
      </c>
      <c r="D158" t="str">
        <v>Kelurahan Mangkura</v>
      </c>
      <c r="E158">
        <v>43</v>
      </c>
      <c r="F158">
        <v>31</v>
      </c>
      <c r="G158">
        <v>23</v>
      </c>
      <c r="H158">
        <v>16</v>
      </c>
      <c r="I158">
        <v>5</v>
      </c>
      <c r="J158">
        <v>4</v>
      </c>
      <c r="K158">
        <v>29</v>
      </c>
      <c r="L158">
        <v>19</v>
      </c>
      <c r="M158" t="str">
        <v>Malalengga (27Kg), Abd. Rahman (36Kg)</v>
      </c>
      <c r="N158">
        <v>63</v>
      </c>
      <c r="O158">
        <f>E158+G158+I158+K158</f>
      </c>
      <c r="P158">
        <f>F158+H158+J158+L158</f>
      </c>
      <c r="Q158">
        <f>N158</f>
      </c>
      <c r="R158">
        <f>O158+P158+Q158</f>
      </c>
      <c r="S158" t="str">
        <v>Petugas Kebersihan MANGKURA</v>
      </c>
      <c r="T158" t="str">
        <v>Data Resmi Oktober 2026</v>
      </c>
    </row>
    <row r="159">
      <c r="A159">
        <v>158</v>
      </c>
      <c r="B159" t="str">
        <v>2026-10-16</v>
      </c>
      <c r="C159" t="str">
        <v>73.71.01.1008</v>
      </c>
      <c r="D159" t="str">
        <v>Kelurahan Pisang Selatan</v>
      </c>
      <c r="E159">
        <v>8</v>
      </c>
      <c r="F159">
        <v>0</v>
      </c>
      <c r="G159">
        <v>4</v>
      </c>
      <c r="H159">
        <v>0</v>
      </c>
      <c r="I159">
        <v>1</v>
      </c>
      <c r="J159">
        <v>0</v>
      </c>
      <c r="K159">
        <v>5</v>
      </c>
      <c r="L159">
        <v>0</v>
      </c>
      <c r="M159" t="str">
        <v>-</v>
      </c>
      <c r="N159">
        <v>0</v>
      </c>
      <c r="O159">
        <f>E159+G159+I159+K159</f>
      </c>
      <c r="P159">
        <f>F159+H159+J159+L159</f>
      </c>
      <c r="Q159">
        <f>N159</f>
      </c>
      <c r="R159">
        <f>O159+P159+Q159</f>
      </c>
      <c r="S159" t="str">
        <v>Petugas Kebersihan PISANG SELATAN</v>
      </c>
      <c r="T159" t="str">
        <v>Data Resmi Oktober 2026</v>
      </c>
    </row>
    <row r="160">
      <c r="A160">
        <v>159</v>
      </c>
      <c r="B160" t="str">
        <v>2026-10-16</v>
      </c>
      <c r="C160" t="str">
        <v>73.71.01.1009</v>
      </c>
      <c r="D160" t="str">
        <v>Kelurahan Pisang Utara</v>
      </c>
      <c r="E160">
        <v>3</v>
      </c>
      <c r="F160">
        <v>16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tr">
        <v>-</v>
      </c>
      <c r="N160">
        <v>0</v>
      </c>
      <c r="O160">
        <f>E160+G160+I160+K160</f>
      </c>
      <c r="P160">
        <f>F160+H160+J160+L160</f>
      </c>
      <c r="Q160">
        <f>N160</f>
      </c>
      <c r="R160">
        <f>O160+P160+Q160</f>
      </c>
      <c r="S160" t="str">
        <v>Petugas Kebersihan PISANG UTARA</v>
      </c>
      <c r="T160" t="str">
        <v>Data Resmi Oktober 2026</v>
      </c>
    </row>
    <row r="161">
      <c r="A161">
        <v>160</v>
      </c>
      <c r="B161" t="str">
        <v>2026-10-16</v>
      </c>
      <c r="C161" t="str">
        <v>73.71.01.1010</v>
      </c>
      <c r="D161" t="str">
        <v>Kelurahan Sawerigading</v>
      </c>
      <c r="E161">
        <v>23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105</v>
      </c>
      <c r="L161">
        <v>0</v>
      </c>
      <c r="M161" t="str">
        <v>Nurdin Aco (35Kg)</v>
      </c>
      <c r="N161">
        <v>35</v>
      </c>
      <c r="O161">
        <f>E161+G161+I161+K161</f>
      </c>
      <c r="P161">
        <f>F161+H161+J161+L161</f>
      </c>
      <c r="Q161">
        <f>N161</f>
      </c>
      <c r="R161">
        <f>O161+P161+Q161</f>
      </c>
      <c r="S161" t="str">
        <v>Petugas Kebersihan SAWERIGADING</v>
      </c>
      <c r="T161" t="str">
        <v>Data Resmi Oktober 2026</v>
      </c>
    </row>
    <row r="162">
      <c r="A162">
        <v>161</v>
      </c>
      <c r="B162" t="str">
        <v>2026-10-17</v>
      </c>
      <c r="C162" t="str">
        <v>73.71.01.1001</v>
      </c>
      <c r="D162" t="str">
        <v>Kelurahan Baru</v>
      </c>
      <c r="E162">
        <v>181</v>
      </c>
      <c r="F162">
        <v>811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tr">
        <v>Musliadi (49Kg)</v>
      </c>
      <c r="N162">
        <v>49</v>
      </c>
      <c r="O162">
        <f>E162+G162+I162+K162</f>
      </c>
      <c r="P162">
        <f>F162+H162+J162+L162</f>
      </c>
      <c r="Q162">
        <f>N162</f>
      </c>
      <c r="R162">
        <f>O162+P162+Q162</f>
      </c>
      <c r="S162" t="str">
        <v>Petugas Kebersihan BARU</v>
      </c>
      <c r="T162" t="str">
        <v>Data Resmi Oktober 2026</v>
      </c>
    </row>
    <row r="163">
      <c r="A163">
        <v>162</v>
      </c>
      <c r="B163" t="str">
        <v>2026-10-17</v>
      </c>
      <c r="C163" t="str">
        <v>73.71.01.1002</v>
      </c>
      <c r="D163" t="str">
        <v>Kelurahan Bulogading</v>
      </c>
      <c r="E163">
        <v>45</v>
      </c>
      <c r="F163">
        <v>26</v>
      </c>
      <c r="G163">
        <v>13</v>
      </c>
      <c r="H163">
        <v>6</v>
      </c>
      <c r="I163">
        <v>9</v>
      </c>
      <c r="J163">
        <v>5</v>
      </c>
      <c r="K163">
        <v>55</v>
      </c>
      <c r="L163">
        <v>14</v>
      </c>
      <c r="M163" t="str">
        <v>Ansu (49Kg), Awal Wahid (38Kg)</v>
      </c>
      <c r="N163">
        <v>87</v>
      </c>
      <c r="O163">
        <f>E163+G163+I163+K163</f>
      </c>
      <c r="P163">
        <f>F163+H163+J163+L163</f>
      </c>
      <c r="Q163">
        <f>N163</f>
      </c>
      <c r="R163">
        <f>O163+P163+Q163</f>
      </c>
      <c r="S163" t="str">
        <v>Petugas Kebersihan BULOGADING</v>
      </c>
      <c r="T163" t="str">
        <v>Data Resmi Oktober 2026</v>
      </c>
    </row>
    <row r="164">
      <c r="A164">
        <v>163</v>
      </c>
      <c r="B164" t="str">
        <v>2026-10-17</v>
      </c>
      <c r="C164" t="str">
        <v>73.71.01.1003</v>
      </c>
      <c r="D164" t="str">
        <v>Kelurahan Lae-Lae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tr">
        <v>-</v>
      </c>
      <c r="N164">
        <v>0</v>
      </c>
      <c r="O164">
        <f>E164+G164+I164+K164</f>
      </c>
      <c r="P164">
        <f>F164+H164+J164+L164</f>
      </c>
      <c r="Q164">
        <f>N164</f>
      </c>
      <c r="R164">
        <f>O164+P164+Q164</f>
      </c>
      <c r="S164" t="str">
        <v>Petugas Kebersihan LAE-LAE</v>
      </c>
      <c r="T164" t="str">
        <v>Data Resmi Oktober 2026</v>
      </c>
    </row>
    <row r="165">
      <c r="A165">
        <v>164</v>
      </c>
      <c r="B165" t="str">
        <v>2026-10-17</v>
      </c>
      <c r="C165" t="str">
        <v>73.71.01.1004</v>
      </c>
      <c r="D165" t="str">
        <v>Kelurahan Lajangiru</v>
      </c>
      <c r="E165">
        <v>5</v>
      </c>
      <c r="F165">
        <v>0</v>
      </c>
      <c r="G165">
        <v>6</v>
      </c>
      <c r="H165">
        <v>0</v>
      </c>
      <c r="I165">
        <v>5</v>
      </c>
      <c r="J165">
        <v>0</v>
      </c>
      <c r="K165">
        <v>11</v>
      </c>
      <c r="L165">
        <v>0</v>
      </c>
      <c r="M165" t="str">
        <v>-</v>
      </c>
      <c r="N165">
        <v>0</v>
      </c>
      <c r="O165">
        <f>E165+G165+I165+K165</f>
      </c>
      <c r="P165">
        <f>F165+H165+J165+L165</f>
      </c>
      <c r="Q165">
        <f>N165</f>
      </c>
      <c r="R165">
        <f>O165+P165+Q165</f>
      </c>
      <c r="S165" t="str">
        <v>Petugas Kebersihan LAJANGIRU</v>
      </c>
      <c r="T165" t="str">
        <v>Data Resmi Oktober 2026</v>
      </c>
    </row>
    <row r="166">
      <c r="A166">
        <v>165</v>
      </c>
      <c r="B166" t="str">
        <v>2026-10-17</v>
      </c>
      <c r="C166" t="str">
        <v>73.71.01.1005</v>
      </c>
      <c r="D166" t="str">
        <v>Kelurahan Losari</v>
      </c>
      <c r="E166">
        <v>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76</v>
      </c>
      <c r="L166">
        <v>0</v>
      </c>
      <c r="M166" t="str">
        <v>Hasrul (28Kg)</v>
      </c>
      <c r="N166">
        <v>28</v>
      </c>
      <c r="O166">
        <f>E166+G166+I166+K166</f>
      </c>
      <c r="P166">
        <f>F166+H166+J166+L166</f>
      </c>
      <c r="Q166">
        <f>N166</f>
      </c>
      <c r="R166">
        <f>O166+P166+Q166</f>
      </c>
      <c r="S166" t="str">
        <v>Petugas Kebersihan LOSARI</v>
      </c>
      <c r="T166" t="str">
        <v>Data Resmi Oktober 2026</v>
      </c>
    </row>
    <row r="167">
      <c r="A167">
        <v>166</v>
      </c>
      <c r="B167" t="str">
        <v>2026-10-17</v>
      </c>
      <c r="C167" t="str">
        <v>73.71.01.1006</v>
      </c>
      <c r="D167" t="str">
        <v>Kelurahan Maloku</v>
      </c>
      <c r="E167">
        <v>16</v>
      </c>
      <c r="F167">
        <v>22</v>
      </c>
      <c r="G167">
        <v>0</v>
      </c>
      <c r="H167">
        <v>0</v>
      </c>
      <c r="I167">
        <v>4</v>
      </c>
      <c r="J167">
        <v>5</v>
      </c>
      <c r="K167">
        <v>9</v>
      </c>
      <c r="L167">
        <v>8</v>
      </c>
      <c r="M167" t="str">
        <v>Erwin (53Kg), Samsir (50Kg)</v>
      </c>
      <c r="N167">
        <v>103</v>
      </c>
      <c r="O167">
        <f>E167+G167+I167+K167</f>
      </c>
      <c r="P167">
        <f>F167+H167+J167+L167</f>
      </c>
      <c r="Q167">
        <f>N167</f>
      </c>
      <c r="R167">
        <f>O167+P167+Q167</f>
      </c>
      <c r="S167" t="str">
        <v>Petugas Kebersihan MALOKU</v>
      </c>
      <c r="T167" t="str">
        <v>Data Resmi Oktober 2026</v>
      </c>
    </row>
    <row r="168">
      <c r="A168">
        <v>167</v>
      </c>
      <c r="B168" t="str">
        <v>2026-10-17</v>
      </c>
      <c r="C168" t="str">
        <v>73.71.01.1007</v>
      </c>
      <c r="D168" t="str">
        <v>Kelurahan Mangkura</v>
      </c>
      <c r="E168">
        <v>46</v>
      </c>
      <c r="F168">
        <v>33</v>
      </c>
      <c r="G168">
        <v>25</v>
      </c>
      <c r="H168">
        <v>16</v>
      </c>
      <c r="I168">
        <v>6</v>
      </c>
      <c r="J168">
        <v>4</v>
      </c>
      <c r="K168">
        <v>31</v>
      </c>
      <c r="L168">
        <v>20</v>
      </c>
      <c r="M168" t="str">
        <v>Malalengga (29Kg), Abd. Rahman (38Kg)</v>
      </c>
      <c r="N168">
        <v>67</v>
      </c>
      <c r="O168">
        <f>E168+G168+I168+K168</f>
      </c>
      <c r="P168">
        <f>F168+H168+J168+L168</f>
      </c>
      <c r="Q168">
        <f>N168</f>
      </c>
      <c r="R168">
        <f>O168+P168+Q168</f>
      </c>
      <c r="S168" t="str">
        <v>Petugas Kebersihan MANGKURA</v>
      </c>
      <c r="T168" t="str">
        <v>Data Resmi Oktober 2026</v>
      </c>
    </row>
    <row r="169">
      <c r="A169">
        <v>168</v>
      </c>
      <c r="B169" t="str">
        <v>2026-10-17</v>
      </c>
      <c r="C169" t="str">
        <v>73.71.01.1008</v>
      </c>
      <c r="D169" t="str">
        <v>Kelurahan Pisang Selatan</v>
      </c>
      <c r="E169">
        <v>9</v>
      </c>
      <c r="F169">
        <v>1</v>
      </c>
      <c r="G169">
        <v>5</v>
      </c>
      <c r="H169">
        <v>0</v>
      </c>
      <c r="I169">
        <v>1</v>
      </c>
      <c r="J169">
        <v>0</v>
      </c>
      <c r="K169">
        <v>5</v>
      </c>
      <c r="L169">
        <v>0</v>
      </c>
      <c r="M169" t="str">
        <v>-</v>
      </c>
      <c r="N169">
        <v>0</v>
      </c>
      <c r="O169">
        <f>E169+G169+I169+K169</f>
      </c>
      <c r="P169">
        <f>F169+H169+J169+L169</f>
      </c>
      <c r="Q169">
        <f>N169</f>
      </c>
      <c r="R169">
        <f>O169+P169+Q169</f>
      </c>
      <c r="S169" t="str">
        <v>Petugas Kebersihan PISANG SELATAN</v>
      </c>
      <c r="T169" t="str">
        <v>Data Resmi Oktober 2026</v>
      </c>
    </row>
    <row r="170">
      <c r="A170">
        <v>169</v>
      </c>
      <c r="B170" t="str">
        <v>2026-10-17</v>
      </c>
      <c r="C170" t="str">
        <v>73.71.01.1009</v>
      </c>
      <c r="D170" t="str">
        <v>Kelurahan Pisang Utara</v>
      </c>
      <c r="E170">
        <v>3</v>
      </c>
      <c r="F170">
        <v>17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tr">
        <v>-</v>
      </c>
      <c r="N170">
        <v>0</v>
      </c>
      <c r="O170">
        <f>E170+G170+I170+K170</f>
      </c>
      <c r="P170">
        <f>F170+H170+J170+L170</f>
      </c>
      <c r="Q170">
        <f>N170</f>
      </c>
      <c r="R170">
        <f>O170+P170+Q170</f>
      </c>
      <c r="S170" t="str">
        <v>Petugas Kebersihan PISANG UTARA</v>
      </c>
      <c r="T170" t="str">
        <v>Data Resmi Oktober 2026</v>
      </c>
    </row>
    <row r="171">
      <c r="A171">
        <v>170</v>
      </c>
      <c r="B171" t="str">
        <v>2026-10-17</v>
      </c>
      <c r="C171" t="str">
        <v>73.71.01.1010</v>
      </c>
      <c r="D171" t="str">
        <v>Kelurahan Sawerigading</v>
      </c>
      <c r="E171">
        <v>24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111</v>
      </c>
      <c r="L171">
        <v>0</v>
      </c>
      <c r="M171" t="str">
        <v>Nurdin Aco (37Kg)</v>
      </c>
      <c r="N171">
        <v>37</v>
      </c>
      <c r="O171">
        <f>E171+G171+I171+K171</f>
      </c>
      <c r="P171">
        <f>F171+H171+J171+L171</f>
      </c>
      <c r="Q171">
        <f>N171</f>
      </c>
      <c r="R171">
        <f>O171+P171+Q171</f>
      </c>
      <c r="S171" t="str">
        <v>Petugas Kebersihan SAWERIGADING</v>
      </c>
      <c r="T171" t="str">
        <v>Data Resmi Oktober 2026</v>
      </c>
    </row>
    <row r="172">
      <c r="A172">
        <v>171</v>
      </c>
      <c r="B172" t="str">
        <v>2026-10-18</v>
      </c>
      <c r="C172" t="str">
        <v>73.71.01.1001</v>
      </c>
      <c r="D172" t="str">
        <v>Kelurahan Baru</v>
      </c>
      <c r="E172">
        <v>186</v>
      </c>
      <c r="F172">
        <v>833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tr">
        <v>Musliadi (50Kg)</v>
      </c>
      <c r="N172">
        <v>50</v>
      </c>
      <c r="O172">
        <f>E172+G172+I172+K172</f>
      </c>
      <c r="P172">
        <f>F172+H172+J172+L172</f>
      </c>
      <c r="Q172">
        <f>N172</f>
      </c>
      <c r="R172">
        <f>O172+P172+Q172</f>
      </c>
      <c r="S172" t="str">
        <v>Petugas Kebersihan BARU</v>
      </c>
      <c r="T172" t="str">
        <v>Data Resmi Oktober 2026</v>
      </c>
    </row>
    <row r="173">
      <c r="A173">
        <v>172</v>
      </c>
      <c r="B173" t="str">
        <v>2026-10-18</v>
      </c>
      <c r="C173" t="str">
        <v>73.71.01.1002</v>
      </c>
      <c r="D173" t="str">
        <v>Kelurahan Bulogading</v>
      </c>
      <c r="E173">
        <v>46</v>
      </c>
      <c r="F173">
        <v>27</v>
      </c>
      <c r="G173">
        <v>13</v>
      </c>
      <c r="H173">
        <v>6</v>
      </c>
      <c r="I173">
        <v>9</v>
      </c>
      <c r="J173">
        <v>5</v>
      </c>
      <c r="K173">
        <v>57</v>
      </c>
      <c r="L173">
        <v>15</v>
      </c>
      <c r="M173" t="str">
        <v>Ansu (50Kg), Awal Wahid (39Kg)</v>
      </c>
      <c r="N173">
        <v>89</v>
      </c>
      <c r="O173">
        <f>E173+G173+I173+K173</f>
      </c>
      <c r="P173">
        <f>F173+H173+J173+L173</f>
      </c>
      <c r="Q173">
        <f>N173</f>
      </c>
      <c r="R173">
        <f>O173+P173+Q173</f>
      </c>
      <c r="S173" t="str">
        <v>Petugas Kebersihan BULOGADING</v>
      </c>
      <c r="T173" t="str">
        <v>Data Resmi Oktober 2026</v>
      </c>
    </row>
    <row r="174">
      <c r="A174">
        <v>173</v>
      </c>
      <c r="B174" t="str">
        <v>2026-10-18</v>
      </c>
      <c r="C174" t="str">
        <v>73.71.01.1003</v>
      </c>
      <c r="D174" t="str">
        <v>Kelurahan Lae-Lae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tr">
        <v>-</v>
      </c>
      <c r="N174">
        <v>0</v>
      </c>
      <c r="O174">
        <f>E174+G174+I174+K174</f>
      </c>
      <c r="P174">
        <f>F174+H174+J174+L174</f>
      </c>
      <c r="Q174">
        <f>N174</f>
      </c>
      <c r="R174">
        <f>O174+P174+Q174</f>
      </c>
      <c r="S174" t="str">
        <v>Petugas Kebersihan LAE-LAE</v>
      </c>
      <c r="T174" t="str">
        <v>Data Resmi Oktober 2026</v>
      </c>
    </row>
    <row r="175">
      <c r="A175">
        <v>174</v>
      </c>
      <c r="B175" t="str">
        <v>2026-10-18</v>
      </c>
      <c r="C175" t="str">
        <v>73.71.01.1004</v>
      </c>
      <c r="D175" t="str">
        <v>Kelurahan Lajangiru</v>
      </c>
      <c r="E175">
        <v>5</v>
      </c>
      <c r="F175">
        <v>0</v>
      </c>
      <c r="G175">
        <v>6</v>
      </c>
      <c r="H175">
        <v>0</v>
      </c>
      <c r="I175">
        <v>5</v>
      </c>
      <c r="J175">
        <v>0</v>
      </c>
      <c r="K175">
        <v>11</v>
      </c>
      <c r="L175">
        <v>0</v>
      </c>
      <c r="M175" t="str">
        <v>-</v>
      </c>
      <c r="N175">
        <v>0</v>
      </c>
      <c r="O175">
        <f>E175+G175+I175+K175</f>
      </c>
      <c r="P175">
        <f>F175+H175+J175+L175</f>
      </c>
      <c r="Q175">
        <f>N175</f>
      </c>
      <c r="R175">
        <f>O175+P175+Q175</f>
      </c>
      <c r="S175" t="str">
        <v>Petugas Kebersihan LAJANGIRU</v>
      </c>
      <c r="T175" t="str">
        <v>Data Resmi Oktober 2026</v>
      </c>
    </row>
    <row r="176">
      <c r="A176">
        <v>175</v>
      </c>
      <c r="B176" t="str">
        <v>2026-10-18</v>
      </c>
      <c r="C176" t="str">
        <v>73.71.01.1005</v>
      </c>
      <c r="D176" t="str">
        <v>Kelurahan Losari</v>
      </c>
      <c r="E176">
        <v>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78</v>
      </c>
      <c r="L176">
        <v>0</v>
      </c>
      <c r="M176" t="str">
        <v>Hasrul (28Kg)</v>
      </c>
      <c r="N176">
        <v>28</v>
      </c>
      <c r="O176">
        <f>E176+G176+I176+K176</f>
      </c>
      <c r="P176">
        <f>F176+H176+J176+L176</f>
      </c>
      <c r="Q176">
        <f>N176</f>
      </c>
      <c r="R176">
        <f>O176+P176+Q176</f>
      </c>
      <c r="S176" t="str">
        <v>Petugas Kebersihan LOSARI</v>
      </c>
      <c r="T176" t="str">
        <v>Data Resmi Oktober 2026</v>
      </c>
    </row>
    <row r="177">
      <c r="A177">
        <v>176</v>
      </c>
      <c r="B177" t="str">
        <v>2026-10-18</v>
      </c>
      <c r="C177" t="str">
        <v>73.71.01.1006</v>
      </c>
      <c r="D177" t="str">
        <v>Kelurahan Maloku</v>
      </c>
      <c r="E177">
        <v>17</v>
      </c>
      <c r="F177">
        <v>23</v>
      </c>
      <c r="G177">
        <v>0</v>
      </c>
      <c r="H177">
        <v>0</v>
      </c>
      <c r="I177">
        <v>4</v>
      </c>
      <c r="J177">
        <v>6</v>
      </c>
      <c r="K177">
        <v>9</v>
      </c>
      <c r="L177">
        <v>9</v>
      </c>
      <c r="M177" t="str">
        <v>Erwin (55Kg), Samsir (51Kg)</v>
      </c>
      <c r="N177">
        <v>106</v>
      </c>
      <c r="O177">
        <f>E177+G177+I177+K177</f>
      </c>
      <c r="P177">
        <f>F177+H177+J177+L177</f>
      </c>
      <c r="Q177">
        <f>N177</f>
      </c>
      <c r="R177">
        <f>O177+P177+Q177</f>
      </c>
      <c r="S177" t="str">
        <v>Petugas Kebersihan MALOKU</v>
      </c>
      <c r="T177" t="str">
        <v>Data Resmi Oktober 2026</v>
      </c>
    </row>
    <row r="178">
      <c r="A178">
        <v>177</v>
      </c>
      <c r="B178" t="str">
        <v>2026-10-18</v>
      </c>
      <c r="C178" t="str">
        <v>73.71.01.1007</v>
      </c>
      <c r="D178" t="str">
        <v>Kelurahan Mangkura</v>
      </c>
      <c r="E178">
        <v>47</v>
      </c>
      <c r="F178">
        <v>34</v>
      </c>
      <c r="G178">
        <v>25</v>
      </c>
      <c r="H178">
        <v>17</v>
      </c>
      <c r="I178">
        <v>6</v>
      </c>
      <c r="J178">
        <v>5</v>
      </c>
      <c r="K178">
        <v>31</v>
      </c>
      <c r="L178">
        <v>21</v>
      </c>
      <c r="M178" t="str">
        <v>Malalengga (30Kg), Abd. Rahman (39Kg)</v>
      </c>
      <c r="N178">
        <v>69</v>
      </c>
      <c r="O178">
        <f>E178+G178+I178+K178</f>
      </c>
      <c r="P178">
        <f>F178+H178+J178+L178</f>
      </c>
      <c r="Q178">
        <f>N178</f>
      </c>
      <c r="R178">
        <f>O178+P178+Q178</f>
      </c>
      <c r="S178" t="str">
        <v>Petugas Kebersihan MANGKURA</v>
      </c>
      <c r="T178" t="str">
        <v>Data Resmi Oktober 2026</v>
      </c>
    </row>
    <row r="179">
      <c r="A179">
        <v>178</v>
      </c>
      <c r="B179" t="str">
        <v>2026-10-18</v>
      </c>
      <c r="C179" t="str">
        <v>73.71.01.1008</v>
      </c>
      <c r="D179" t="str">
        <v>Kelurahan Pisang Selatan</v>
      </c>
      <c r="E179">
        <v>9</v>
      </c>
      <c r="F179">
        <v>1</v>
      </c>
      <c r="G179">
        <v>5</v>
      </c>
      <c r="H179">
        <v>0</v>
      </c>
      <c r="I179">
        <v>1</v>
      </c>
      <c r="J179">
        <v>0</v>
      </c>
      <c r="K179">
        <v>5</v>
      </c>
      <c r="L179">
        <v>0</v>
      </c>
      <c r="M179" t="str">
        <v>-</v>
      </c>
      <c r="N179">
        <v>0</v>
      </c>
      <c r="O179">
        <f>E179+G179+I179+K179</f>
      </c>
      <c r="P179">
        <f>F179+H179+J179+L179</f>
      </c>
      <c r="Q179">
        <f>N179</f>
      </c>
      <c r="R179">
        <f>O179+P179+Q179</f>
      </c>
      <c r="S179" t="str">
        <v>Petugas Kebersihan PISANG SELATAN</v>
      </c>
      <c r="T179" t="str">
        <v>Data Resmi Oktober 2026</v>
      </c>
    </row>
    <row r="180">
      <c r="A180">
        <v>179</v>
      </c>
      <c r="B180" t="str">
        <v>2026-10-18</v>
      </c>
      <c r="C180" t="str">
        <v>73.71.01.1009</v>
      </c>
      <c r="D180" t="str">
        <v>Kelurahan Pisang Utara</v>
      </c>
      <c r="E180">
        <v>3</v>
      </c>
      <c r="F180">
        <v>18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tr">
        <v>-</v>
      </c>
      <c r="N180">
        <v>0</v>
      </c>
      <c r="O180">
        <f>E180+G180+I180+K180</f>
      </c>
      <c r="P180">
        <f>F180+H180+J180+L180</f>
      </c>
      <c r="Q180">
        <f>N180</f>
      </c>
      <c r="R180">
        <f>O180+P180+Q180</f>
      </c>
      <c r="S180" t="str">
        <v>Petugas Kebersihan PISANG UTARA</v>
      </c>
      <c r="T180" t="str">
        <v>Data Resmi Oktober 2026</v>
      </c>
    </row>
    <row r="181">
      <c r="A181">
        <v>180</v>
      </c>
      <c r="B181" t="str">
        <v>2026-10-18</v>
      </c>
      <c r="C181" t="str">
        <v>73.71.01.1010</v>
      </c>
      <c r="D181" t="str">
        <v>Kelurahan Sawerigading</v>
      </c>
      <c r="E181">
        <v>25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115</v>
      </c>
      <c r="L181">
        <v>0</v>
      </c>
      <c r="M181" t="str">
        <v>Nurdin Aco (38Kg)</v>
      </c>
      <c r="N181">
        <v>38</v>
      </c>
      <c r="O181">
        <f>E181+G181+I181+K181</f>
      </c>
      <c r="P181">
        <f>F181+H181+J181+L181</f>
      </c>
      <c r="Q181">
        <f>N181</f>
      </c>
      <c r="R181">
        <f>O181+P181+Q181</f>
      </c>
      <c r="S181" t="str">
        <v>Petugas Kebersihan SAWERIGADING</v>
      </c>
      <c r="T181" t="str">
        <v>Data Resmi Oktober 2026</v>
      </c>
    </row>
    <row r="182">
      <c r="A182">
        <v>181</v>
      </c>
      <c r="B182" t="str">
        <v>2026-10-19</v>
      </c>
      <c r="C182" t="str">
        <v>73.71.01.1001</v>
      </c>
      <c r="D182" t="str">
        <v>Kelurahan Baru</v>
      </c>
      <c r="E182">
        <v>159</v>
      </c>
      <c r="F182">
        <v>712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tr">
        <v>Musliadi (43Kg)</v>
      </c>
      <c r="N182">
        <v>43</v>
      </c>
      <c r="O182">
        <f>E182+G182+I182+K182</f>
      </c>
      <c r="P182">
        <f>F182+H182+J182+L182</f>
      </c>
      <c r="Q182">
        <f>N182</f>
      </c>
      <c r="R182">
        <f>O182+P182+Q182</f>
      </c>
      <c r="S182" t="str">
        <v>Petugas Kebersihan BARU</v>
      </c>
      <c r="T182" t="str">
        <v>Data Resmi Oktober 2026</v>
      </c>
    </row>
    <row r="183">
      <c r="A183">
        <v>182</v>
      </c>
      <c r="B183" t="str">
        <v>2026-10-19</v>
      </c>
      <c r="C183" t="str">
        <v>73.71.01.1002</v>
      </c>
      <c r="D183" t="str">
        <v>Kelurahan Bulogading</v>
      </c>
      <c r="E183">
        <v>39</v>
      </c>
      <c r="F183">
        <v>23</v>
      </c>
      <c r="G183">
        <v>11</v>
      </c>
      <c r="H183">
        <v>5</v>
      </c>
      <c r="I183">
        <v>8</v>
      </c>
      <c r="J183">
        <v>4</v>
      </c>
      <c r="K183">
        <v>49</v>
      </c>
      <c r="L183">
        <v>12</v>
      </c>
      <c r="M183" t="str">
        <v>Ansu (43Kg), Awal Wahid (33Kg)</v>
      </c>
      <c r="N183">
        <v>76</v>
      </c>
      <c r="O183">
        <f>E183+G183+I183+K183</f>
      </c>
      <c r="P183">
        <f>F183+H183+J183+L183</f>
      </c>
      <c r="Q183">
        <f>N183</f>
      </c>
      <c r="R183">
        <f>O183+P183+Q183</f>
      </c>
      <c r="S183" t="str">
        <v>Petugas Kebersihan BULOGADING</v>
      </c>
      <c r="T183" t="str">
        <v>Data Resmi Oktober 2026</v>
      </c>
    </row>
    <row r="184">
      <c r="A184">
        <v>183</v>
      </c>
      <c r="B184" t="str">
        <v>2026-10-19</v>
      </c>
      <c r="C184" t="str">
        <v>73.71.01.1003</v>
      </c>
      <c r="D184" t="str">
        <v>Kelurahan Lae-Lae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tr">
        <v>-</v>
      </c>
      <c r="N184">
        <v>0</v>
      </c>
      <c r="O184">
        <f>E184+G184+I184+K184</f>
      </c>
      <c r="P184">
        <f>F184+H184+J184+L184</f>
      </c>
      <c r="Q184">
        <f>N184</f>
      </c>
      <c r="R184">
        <f>O184+P184+Q184</f>
      </c>
      <c r="S184" t="str">
        <v>Petugas Kebersihan LAE-LAE</v>
      </c>
      <c r="T184" t="str">
        <v>Data Resmi Oktober 2026</v>
      </c>
    </row>
    <row r="185">
      <c r="A185">
        <v>184</v>
      </c>
      <c r="B185" t="str">
        <v>2026-10-19</v>
      </c>
      <c r="C185" t="str">
        <v>73.71.01.1004</v>
      </c>
      <c r="D185" t="str">
        <v>Kelurahan Lajangiru</v>
      </c>
      <c r="E185">
        <v>4</v>
      </c>
      <c r="F185">
        <v>0</v>
      </c>
      <c r="G185">
        <v>5</v>
      </c>
      <c r="H185">
        <v>0</v>
      </c>
      <c r="I185">
        <v>4</v>
      </c>
      <c r="J185">
        <v>0</v>
      </c>
      <c r="K185">
        <v>10</v>
      </c>
      <c r="L185">
        <v>0</v>
      </c>
      <c r="M185" t="str">
        <v>-</v>
      </c>
      <c r="N185">
        <v>0</v>
      </c>
      <c r="O185">
        <f>E185+G185+I185+K185</f>
      </c>
      <c r="P185">
        <f>F185+H185+J185+L185</f>
      </c>
      <c r="Q185">
        <f>N185</f>
      </c>
      <c r="R185">
        <f>O185+P185+Q185</f>
      </c>
      <c r="S185" t="str">
        <v>Petugas Kebersihan LAJANGIRU</v>
      </c>
      <c r="T185" t="str">
        <v>Data Resmi Oktober 2026</v>
      </c>
    </row>
    <row r="186">
      <c r="A186">
        <v>185</v>
      </c>
      <c r="B186" t="str">
        <v>2026-10-19</v>
      </c>
      <c r="C186" t="str">
        <v>73.71.01.1005</v>
      </c>
      <c r="D186" t="str">
        <v>Kelurahan Losari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66</v>
      </c>
      <c r="L186">
        <v>0</v>
      </c>
      <c r="M186" t="str">
        <v>Hasrul (24Kg)</v>
      </c>
      <c r="N186">
        <v>24</v>
      </c>
      <c r="O186">
        <f>E186+G186+I186+K186</f>
      </c>
      <c r="P186">
        <f>F186+H186+J186+L186</f>
      </c>
      <c r="Q186">
        <f>N186</f>
      </c>
      <c r="R186">
        <f>O186+P186+Q186</f>
      </c>
      <c r="S186" t="str">
        <v>Petugas Kebersihan LOSARI</v>
      </c>
      <c r="T186" t="str">
        <v>Data Resmi Oktober 2026</v>
      </c>
    </row>
    <row r="187">
      <c r="A187">
        <v>186</v>
      </c>
      <c r="B187" t="str">
        <v>2026-10-19</v>
      </c>
      <c r="C187" t="str">
        <v>73.71.01.1006</v>
      </c>
      <c r="D187" t="str">
        <v>Kelurahan Maloku</v>
      </c>
      <c r="E187">
        <v>14</v>
      </c>
      <c r="F187">
        <v>20</v>
      </c>
      <c r="G187">
        <v>0</v>
      </c>
      <c r="H187">
        <v>0</v>
      </c>
      <c r="I187">
        <v>4</v>
      </c>
      <c r="J187">
        <v>5</v>
      </c>
      <c r="K187">
        <v>8</v>
      </c>
      <c r="L187">
        <v>7</v>
      </c>
      <c r="M187" t="str">
        <v>Erwin (47Kg), Samsir (44Kg)</v>
      </c>
      <c r="N187">
        <v>91</v>
      </c>
      <c r="O187">
        <f>E187+G187+I187+K187</f>
      </c>
      <c r="P187">
        <f>F187+H187+J187+L187</f>
      </c>
      <c r="Q187">
        <f>N187</f>
      </c>
      <c r="R187">
        <f>O187+P187+Q187</f>
      </c>
      <c r="S187" t="str">
        <v>Petugas Kebersihan MALOKU</v>
      </c>
      <c r="T187" t="str">
        <v>Data Resmi Oktober 2026</v>
      </c>
    </row>
    <row r="188">
      <c r="A188">
        <v>187</v>
      </c>
      <c r="B188" t="str">
        <v>2026-10-19</v>
      </c>
      <c r="C188" t="str">
        <v>73.71.01.1007</v>
      </c>
      <c r="D188" t="str">
        <v>Kelurahan Mangkura</v>
      </c>
      <c r="E188">
        <v>40</v>
      </c>
      <c r="F188">
        <v>29</v>
      </c>
      <c r="G188">
        <v>22</v>
      </c>
      <c r="H188">
        <v>14</v>
      </c>
      <c r="I188">
        <v>5</v>
      </c>
      <c r="J188">
        <v>4</v>
      </c>
      <c r="K188">
        <v>27</v>
      </c>
      <c r="L188">
        <v>18</v>
      </c>
      <c r="M188" t="str">
        <v>Malalengga (25Kg), Abd. Rahman (34Kg)</v>
      </c>
      <c r="N188">
        <v>59</v>
      </c>
      <c r="O188">
        <f>E188+G188+I188+K188</f>
      </c>
      <c r="P188">
        <f>F188+H188+J188+L188</f>
      </c>
      <c r="Q188">
        <f>N188</f>
      </c>
      <c r="R188">
        <f>O188+P188+Q188</f>
      </c>
      <c r="S188" t="str">
        <v>Petugas Kebersihan MANGKURA</v>
      </c>
      <c r="T188" t="str">
        <v>Data Resmi Oktober 2026</v>
      </c>
    </row>
    <row r="189">
      <c r="A189">
        <v>188</v>
      </c>
      <c r="B189" t="str">
        <v>2026-10-19</v>
      </c>
      <c r="C189" t="str">
        <v>73.71.01.1008</v>
      </c>
      <c r="D189" t="str">
        <v>Kelurahan Pisang Selatan</v>
      </c>
      <c r="E189">
        <v>8</v>
      </c>
      <c r="F189">
        <v>0</v>
      </c>
      <c r="G189">
        <v>4</v>
      </c>
      <c r="H189">
        <v>0</v>
      </c>
      <c r="I189">
        <v>1</v>
      </c>
      <c r="J189">
        <v>0</v>
      </c>
      <c r="K189">
        <v>4</v>
      </c>
      <c r="L189">
        <v>0</v>
      </c>
      <c r="M189" t="str">
        <v>-</v>
      </c>
      <c r="N189">
        <v>0</v>
      </c>
      <c r="O189">
        <f>E189+G189+I189+K189</f>
      </c>
      <c r="P189">
        <f>F189+H189+J189+L189</f>
      </c>
      <c r="Q189">
        <f>N189</f>
      </c>
      <c r="R189">
        <f>O189+P189+Q189</f>
      </c>
      <c r="S189" t="str">
        <v>Petugas Kebersihan PISANG SELATAN</v>
      </c>
      <c r="T189" t="str">
        <v>Data Resmi Oktober 2026</v>
      </c>
    </row>
    <row r="190">
      <c r="A190">
        <v>189</v>
      </c>
      <c r="B190" t="str">
        <v>2026-10-19</v>
      </c>
      <c r="C190" t="str">
        <v>73.71.01.1009</v>
      </c>
      <c r="D190" t="str">
        <v>Kelurahan Pisang Utara</v>
      </c>
      <c r="E190">
        <v>2</v>
      </c>
      <c r="F190">
        <v>15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tr">
        <v>-</v>
      </c>
      <c r="N190">
        <v>0</v>
      </c>
      <c r="O190">
        <f>E190+G190+I190+K190</f>
      </c>
      <c r="P190">
        <f>F190+H190+J190+L190</f>
      </c>
      <c r="Q190">
        <f>N190</f>
      </c>
      <c r="R190">
        <f>O190+P190+Q190</f>
      </c>
      <c r="S190" t="str">
        <v>Petugas Kebersihan PISANG UTARA</v>
      </c>
      <c r="T190" t="str">
        <v>Data Resmi Oktober 2026</v>
      </c>
    </row>
    <row r="191">
      <c r="A191">
        <v>190</v>
      </c>
      <c r="B191" t="str">
        <v>2026-10-19</v>
      </c>
      <c r="C191" t="str">
        <v>73.71.01.1010</v>
      </c>
      <c r="D191" t="str">
        <v>Kelurahan Sawerigading</v>
      </c>
      <c r="E191">
        <v>21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98</v>
      </c>
      <c r="L191">
        <v>0</v>
      </c>
      <c r="M191" t="str">
        <v>Nurdin Aco (33Kg)</v>
      </c>
      <c r="N191">
        <v>33</v>
      </c>
      <c r="O191">
        <f>E191+G191+I191+K191</f>
      </c>
      <c r="P191">
        <f>F191+H191+J191+L191</f>
      </c>
      <c r="Q191">
        <f>N191</f>
      </c>
      <c r="R191">
        <f>O191+P191+Q191</f>
      </c>
      <c r="S191" t="str">
        <v>Petugas Kebersihan SAWERIGADING</v>
      </c>
      <c r="T191" t="str">
        <v>Data Resmi Oktober 2026</v>
      </c>
    </row>
    <row r="192">
      <c r="A192">
        <v>191</v>
      </c>
      <c r="B192" t="str">
        <v>2026-10-20</v>
      </c>
      <c r="C192" t="str">
        <v>73.71.01.1001</v>
      </c>
      <c r="D192" t="str">
        <v>Kelurahan Baru</v>
      </c>
      <c r="E192">
        <v>0</v>
      </c>
      <c r="F192">
        <v>1170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tr">
        <v>Musliadi (54Kg)</v>
      </c>
      <c r="N192">
        <v>54</v>
      </c>
      <c r="O192">
        <f>E192+G192+I192+K192</f>
      </c>
      <c r="P192">
        <f>F192+H192+J192+L192</f>
      </c>
      <c r="Q192">
        <f>N192</f>
      </c>
      <c r="R192">
        <f>O192+P192+Q192</f>
      </c>
      <c r="S192" t="str">
        <v>Petugas Kebersihan BARU</v>
      </c>
      <c r="T192" t="str">
        <v>Data Resmi Oktober 2026</v>
      </c>
    </row>
    <row r="193">
      <c r="A193">
        <v>192</v>
      </c>
      <c r="B193" t="str">
        <v>2026-10-20</v>
      </c>
      <c r="C193" t="str">
        <v>73.71.01.1002</v>
      </c>
      <c r="D193" t="str">
        <v>Kelurahan Bulogading</v>
      </c>
      <c r="E193">
        <v>82</v>
      </c>
      <c r="F193">
        <v>53</v>
      </c>
      <c r="G193">
        <v>0</v>
      </c>
      <c r="H193">
        <v>0</v>
      </c>
      <c r="I193">
        <v>0</v>
      </c>
      <c r="J193">
        <v>0</v>
      </c>
      <c r="K193">
        <v>42</v>
      </c>
      <c r="L193">
        <v>0</v>
      </c>
      <c r="M193" t="str">
        <v>Ansu (51Kg), Awal Wahid (38Kg)</v>
      </c>
      <c r="N193">
        <v>89</v>
      </c>
      <c r="O193">
        <f>E193+G193+I193+K193</f>
      </c>
      <c r="P193">
        <f>F193+H193+J193+L193</f>
      </c>
      <c r="Q193">
        <f>N193</f>
      </c>
      <c r="R193">
        <f>O193+P193+Q193</f>
      </c>
      <c r="S193" t="str">
        <v>Petugas Kebersihan BULOGADING</v>
      </c>
      <c r="T193" t="str">
        <v>Data Resmi Oktober 2026</v>
      </c>
    </row>
    <row r="194">
      <c r="A194">
        <v>193</v>
      </c>
      <c r="B194" t="str">
        <v>2026-10-20</v>
      </c>
      <c r="C194" t="str">
        <v>73.71.01.1003</v>
      </c>
      <c r="D194" t="str">
        <v>Kelurahan Lae-Lae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tr">
        <v>-</v>
      </c>
      <c r="N194">
        <v>0</v>
      </c>
      <c r="O194">
        <f>E194+G194+I194+K194</f>
      </c>
      <c r="P194">
        <f>F194+H194+J194+L194</f>
      </c>
      <c r="Q194">
        <f>N194</f>
      </c>
      <c r="R194">
        <f>O194+P194+Q194</f>
      </c>
      <c r="S194" t="str">
        <v>Petugas Kebersihan LAE-LAE</v>
      </c>
      <c r="T194" t="str">
        <v>Data Resmi Oktober 2026</v>
      </c>
    </row>
    <row r="195">
      <c r="A195">
        <v>194</v>
      </c>
      <c r="B195" t="str">
        <v>2026-10-20</v>
      </c>
      <c r="C195" t="str">
        <v>73.71.01.1004</v>
      </c>
      <c r="D195" t="str">
        <v>Kelurahan Lajangiru</v>
      </c>
      <c r="E195">
        <v>6</v>
      </c>
      <c r="F195">
        <v>0</v>
      </c>
      <c r="G195">
        <v>4</v>
      </c>
      <c r="H195">
        <v>0</v>
      </c>
      <c r="I195">
        <v>0</v>
      </c>
      <c r="J195">
        <v>0</v>
      </c>
      <c r="K195">
        <v>6</v>
      </c>
      <c r="L195">
        <v>0</v>
      </c>
      <c r="M195" t="str">
        <v>-</v>
      </c>
      <c r="N195">
        <v>0</v>
      </c>
      <c r="O195">
        <f>E195+G195+I195+K195</f>
      </c>
      <c r="P195">
        <f>F195+H195+J195+L195</f>
      </c>
      <c r="Q195">
        <f>N195</f>
      </c>
      <c r="R195">
        <f>O195+P195+Q195</f>
      </c>
      <c r="S195" t="str">
        <v>Petugas Kebersihan LAJANGIRU</v>
      </c>
      <c r="T195" t="str">
        <v>Data Resmi Oktober 2026</v>
      </c>
    </row>
    <row r="196">
      <c r="A196">
        <v>195</v>
      </c>
      <c r="B196" t="str">
        <v>2026-10-20</v>
      </c>
      <c r="C196" t="str">
        <v>73.71.01.1005</v>
      </c>
      <c r="D196" t="str">
        <v>Kelurahan Losari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53</v>
      </c>
      <c r="L196">
        <v>0</v>
      </c>
      <c r="M196" t="str">
        <v>Hasrul (31Kg)</v>
      </c>
      <c r="N196">
        <v>31</v>
      </c>
      <c r="O196">
        <f>E196+G196+I196+K196</f>
      </c>
      <c r="P196">
        <f>F196+H196+J196+L196</f>
      </c>
      <c r="Q196">
        <f>N196</f>
      </c>
      <c r="R196">
        <f>O196+P196+Q196</f>
      </c>
      <c r="S196" t="str">
        <v>Petugas Kebersihan LOSARI</v>
      </c>
      <c r="T196" t="str">
        <v>Data Resmi Oktober 2026</v>
      </c>
    </row>
    <row r="197">
      <c r="A197">
        <v>196</v>
      </c>
      <c r="B197" t="str">
        <v>2026-10-20</v>
      </c>
      <c r="C197" t="str">
        <v>73.71.01.1006</v>
      </c>
      <c r="D197" t="str">
        <v>Kelurahan Maloku</v>
      </c>
      <c r="E197">
        <v>23</v>
      </c>
      <c r="F197">
        <v>50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tr">
        <v>Erwin (62Kg), Samsir (52Kg)</v>
      </c>
      <c r="N197">
        <v>114</v>
      </c>
      <c r="O197">
        <f>E197+G197+I197+K197</f>
      </c>
      <c r="P197">
        <f>F197+H197+J197+L197</f>
      </c>
      <c r="Q197">
        <f>N197</f>
      </c>
      <c r="R197">
        <f>O197+P197+Q197</f>
      </c>
      <c r="S197" t="str">
        <v>Petugas Kebersihan MALOKU</v>
      </c>
      <c r="T197" t="str">
        <v>Data Resmi Oktober 2026</v>
      </c>
    </row>
    <row r="198">
      <c r="A198">
        <v>197</v>
      </c>
      <c r="B198" t="str">
        <v>2026-10-20</v>
      </c>
      <c r="C198" t="str">
        <v>73.71.01.1007</v>
      </c>
      <c r="D198" t="str">
        <v>Kelurahan Mangkura</v>
      </c>
      <c r="E198">
        <v>60</v>
      </c>
      <c r="F198">
        <v>79</v>
      </c>
      <c r="G198">
        <v>0</v>
      </c>
      <c r="H198">
        <v>0</v>
      </c>
      <c r="I198">
        <v>0</v>
      </c>
      <c r="J198">
        <v>0</v>
      </c>
      <c r="K198">
        <v>56</v>
      </c>
      <c r="L198">
        <v>0</v>
      </c>
      <c r="M198" t="str">
        <v>Malalengga (31Kg), Abd. Rahman (42Kg)</v>
      </c>
      <c r="N198">
        <v>73</v>
      </c>
      <c r="O198">
        <f>E198+G198+I198+K198</f>
      </c>
      <c r="P198">
        <f>F198+H198+J198+L198</f>
      </c>
      <c r="Q198">
        <f>N198</f>
      </c>
      <c r="R198">
        <f>O198+P198+Q198</f>
      </c>
      <c r="S198" t="str">
        <v>Petugas Kebersihan MANGKURA</v>
      </c>
      <c r="T198" t="str">
        <v>Data Resmi Oktober 2026</v>
      </c>
    </row>
    <row r="199">
      <c r="A199">
        <v>198</v>
      </c>
      <c r="B199" t="str">
        <v>2026-10-20</v>
      </c>
      <c r="C199" t="str">
        <v>73.71.01.1008</v>
      </c>
      <c r="D199" t="str">
        <v>Kelurahan Pisang Selatan</v>
      </c>
      <c r="E199">
        <v>14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7</v>
      </c>
      <c r="L199">
        <v>0</v>
      </c>
      <c r="M199" t="str">
        <v>-</v>
      </c>
      <c r="N199">
        <v>0</v>
      </c>
      <c r="O199">
        <f>E199+G199+I199+K199</f>
      </c>
      <c r="P199">
        <f>F199+H199+J199+L199</f>
      </c>
      <c r="Q199">
        <f>N199</f>
      </c>
      <c r="R199">
        <f>O199+P199+Q199</f>
      </c>
      <c r="S199" t="str">
        <v>Petugas Kebersihan PISANG SELATAN</v>
      </c>
      <c r="T199" t="str">
        <v>Data Resmi Oktober 2026</v>
      </c>
    </row>
    <row r="200">
      <c r="A200">
        <v>199</v>
      </c>
      <c r="B200" t="str">
        <v>2026-10-20</v>
      </c>
      <c r="C200" t="str">
        <v>73.71.01.1009</v>
      </c>
      <c r="D200" t="str">
        <v>Kelurahan Pisang Utara</v>
      </c>
      <c r="E200">
        <v>3</v>
      </c>
      <c r="F200">
        <v>17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tr">
        <v>-</v>
      </c>
      <c r="N200">
        <v>0</v>
      </c>
      <c r="O200">
        <f>E200+G200+I200+K200</f>
      </c>
      <c r="P200">
        <f>F200+H200+J200+L200</f>
      </c>
      <c r="Q200">
        <f>N200</f>
      </c>
      <c r="R200">
        <f>O200+P200+Q200</f>
      </c>
      <c r="S200" t="str">
        <v>Petugas Kebersihan PISANG UTARA</v>
      </c>
      <c r="T200" t="str">
        <v>Data Resmi Oktober 2026</v>
      </c>
    </row>
    <row r="201">
      <c r="A201">
        <v>200</v>
      </c>
      <c r="B201" t="str">
        <v>2026-10-20</v>
      </c>
      <c r="C201" t="str">
        <v>73.71.01.1010</v>
      </c>
      <c r="D201" t="str">
        <v>Kelurahan Sawerigading</v>
      </c>
      <c r="E201">
        <v>32</v>
      </c>
      <c r="F201">
        <v>8</v>
      </c>
      <c r="G201">
        <v>0</v>
      </c>
      <c r="H201">
        <v>0</v>
      </c>
      <c r="I201">
        <v>0</v>
      </c>
      <c r="J201">
        <v>0</v>
      </c>
      <c r="K201">
        <v>130</v>
      </c>
      <c r="L201">
        <v>0</v>
      </c>
      <c r="M201" t="str">
        <v>Nurdin Aco (41Kg)</v>
      </c>
      <c r="N201">
        <v>41</v>
      </c>
      <c r="O201">
        <f>E201+G201+I201+K201</f>
      </c>
      <c r="P201">
        <f>F201+H201+J201+L201</f>
      </c>
      <c r="Q201">
        <f>N201</f>
      </c>
      <c r="R201">
        <f>O201+P201+Q201</f>
      </c>
      <c r="S201" t="str">
        <v>Petugas Kebersihan SAWERIGADING</v>
      </c>
      <c r="T201" t="str">
        <v>Data Resmi Oktober 2026</v>
      </c>
    </row>
    <row r="202">
      <c r="A202">
        <v>201</v>
      </c>
      <c r="B202" t="str">
        <v>2026-10-21</v>
      </c>
      <c r="C202" t="str">
        <v>73.71.01.1001</v>
      </c>
      <c r="D202" t="str">
        <v>Kelurahan Baru</v>
      </c>
      <c r="E202">
        <v>181</v>
      </c>
      <c r="F202">
        <v>811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tr">
        <v>Musliadi (50Kg)</v>
      </c>
      <c r="N202">
        <v>50</v>
      </c>
      <c r="O202">
        <f>E202+G202+I202+K202</f>
      </c>
      <c r="P202">
        <f>F202+H202+J202+L202</f>
      </c>
      <c r="Q202">
        <f>N202</f>
      </c>
      <c r="R202">
        <f>O202+P202+Q202</f>
      </c>
      <c r="S202" t="str">
        <v>Petugas Kebersihan BARU</v>
      </c>
      <c r="T202" t="str">
        <v>Data Resmi Oktober 2026</v>
      </c>
    </row>
    <row r="203">
      <c r="A203">
        <v>202</v>
      </c>
      <c r="B203" t="str">
        <v>2026-10-21</v>
      </c>
      <c r="C203" t="str">
        <v>73.71.01.1002</v>
      </c>
      <c r="D203" t="str">
        <v>Kelurahan Bulogading</v>
      </c>
      <c r="E203">
        <v>45</v>
      </c>
      <c r="F203">
        <v>28</v>
      </c>
      <c r="G203">
        <v>12</v>
      </c>
      <c r="H203">
        <v>7</v>
      </c>
      <c r="I203">
        <v>9</v>
      </c>
      <c r="J203">
        <v>5</v>
      </c>
      <c r="K203">
        <v>57</v>
      </c>
      <c r="L203">
        <v>14</v>
      </c>
      <c r="M203" t="str">
        <v>Ansu (49Kg), Awal Wahid (39Kg)</v>
      </c>
      <c r="N203">
        <v>88</v>
      </c>
      <c r="O203">
        <f>E203+G203+I203+K203</f>
      </c>
      <c r="P203">
        <f>F203+H203+J203+L203</f>
      </c>
      <c r="Q203">
        <f>N203</f>
      </c>
      <c r="R203">
        <f>O203+P203+Q203</f>
      </c>
      <c r="S203" t="str">
        <v>Petugas Kebersihan BULOGADING</v>
      </c>
      <c r="T203" t="str">
        <v>Data Resmi Oktober 2026</v>
      </c>
    </row>
    <row r="204">
      <c r="A204">
        <v>203</v>
      </c>
      <c r="B204" t="str">
        <v>2026-10-21</v>
      </c>
      <c r="C204" t="str">
        <v>73.71.01.1003</v>
      </c>
      <c r="D204" t="str">
        <v>Kelurahan Lae-Lae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tr">
        <v>-</v>
      </c>
      <c r="N204">
        <v>0</v>
      </c>
      <c r="O204">
        <f>E204+G204+I204+K204</f>
      </c>
      <c r="P204">
        <f>F204+H204+J204+L204</f>
      </c>
      <c r="Q204">
        <f>N204</f>
      </c>
      <c r="R204">
        <f>O204+P204+Q204</f>
      </c>
      <c r="S204" t="str">
        <v>Petugas Kebersihan LAE-LAE</v>
      </c>
      <c r="T204" t="str">
        <v>Data Resmi Oktober 2026</v>
      </c>
    </row>
    <row r="205">
      <c r="A205">
        <v>204</v>
      </c>
      <c r="B205" t="str">
        <v>2026-10-21</v>
      </c>
      <c r="C205" t="str">
        <v>73.71.01.1004</v>
      </c>
      <c r="D205" t="str">
        <v>Kelurahan Lajangiru</v>
      </c>
      <c r="E205">
        <v>5</v>
      </c>
      <c r="F205">
        <v>0</v>
      </c>
      <c r="G205">
        <v>6</v>
      </c>
      <c r="H205">
        <v>0</v>
      </c>
      <c r="I205">
        <v>5</v>
      </c>
      <c r="J205">
        <v>0</v>
      </c>
      <c r="K205">
        <v>12</v>
      </c>
      <c r="L205">
        <v>0</v>
      </c>
      <c r="M205" t="str">
        <v>-</v>
      </c>
      <c r="N205">
        <v>0</v>
      </c>
      <c r="O205">
        <f>E205+G205+I205+K205</f>
      </c>
      <c r="P205">
        <f>F205+H205+J205+L205</f>
      </c>
      <c r="Q205">
        <f>N205</f>
      </c>
      <c r="R205">
        <f>O205+P205+Q205</f>
      </c>
      <c r="S205" t="str">
        <v>Petugas Kebersihan LAJANGIRU</v>
      </c>
      <c r="T205" t="str">
        <v>Data Resmi Oktober 2026</v>
      </c>
    </row>
    <row r="206">
      <c r="A206">
        <v>205</v>
      </c>
      <c r="B206" t="str">
        <v>2026-10-21</v>
      </c>
      <c r="C206" t="str">
        <v>73.71.01.1005</v>
      </c>
      <c r="D206" t="str">
        <v>Kelurahan Losari</v>
      </c>
      <c r="E206">
        <v>1</v>
      </c>
      <c r="F206">
        <v>0</v>
      </c>
      <c r="G206">
        <v>7</v>
      </c>
      <c r="H206">
        <v>0</v>
      </c>
      <c r="I206">
        <v>0</v>
      </c>
      <c r="J206">
        <v>0</v>
      </c>
      <c r="K206">
        <v>76</v>
      </c>
      <c r="L206">
        <v>0</v>
      </c>
      <c r="M206" t="str">
        <v>Hasrul (27Kg)</v>
      </c>
      <c r="N206">
        <v>27</v>
      </c>
      <c r="O206">
        <f>E206+G206+I206+K206</f>
      </c>
      <c r="P206">
        <f>F206+H206+J206+L206</f>
      </c>
      <c r="Q206">
        <f>N206</f>
      </c>
      <c r="R206">
        <f>O206+P206+Q206</f>
      </c>
      <c r="S206" t="str">
        <v>Petugas Kebersihan LOSARI</v>
      </c>
      <c r="T206" t="str">
        <v>Data Resmi Oktober 2026</v>
      </c>
    </row>
    <row r="207">
      <c r="A207">
        <v>206</v>
      </c>
      <c r="B207" t="str">
        <v>2026-10-21</v>
      </c>
      <c r="C207" t="str">
        <v>73.71.01.1006</v>
      </c>
      <c r="D207" t="str">
        <v>Kelurahan Maloku</v>
      </c>
      <c r="E207">
        <v>16</v>
      </c>
      <c r="F207">
        <v>23</v>
      </c>
      <c r="G207">
        <v>0</v>
      </c>
      <c r="H207">
        <v>0</v>
      </c>
      <c r="I207">
        <v>2</v>
      </c>
      <c r="J207">
        <v>5</v>
      </c>
      <c r="K207">
        <v>9</v>
      </c>
      <c r="L207">
        <v>9</v>
      </c>
      <c r="M207" t="str">
        <v>Erwin (54Kg), Samsir (51Kg)</v>
      </c>
      <c r="N207">
        <v>105</v>
      </c>
      <c r="O207">
        <f>E207+G207+I207+K207</f>
      </c>
      <c r="P207">
        <f>F207+H207+J207+L207</f>
      </c>
      <c r="Q207">
        <f>N207</f>
      </c>
      <c r="R207">
        <f>O207+P207+Q207</f>
      </c>
      <c r="S207" t="str">
        <v>Petugas Kebersihan MALOKU</v>
      </c>
      <c r="T207" t="str">
        <v>Data Resmi Oktober 2026</v>
      </c>
    </row>
    <row r="208">
      <c r="A208">
        <v>207</v>
      </c>
      <c r="B208" t="str">
        <v>2026-10-21</v>
      </c>
      <c r="C208" t="str">
        <v>73.71.01.1007</v>
      </c>
      <c r="D208" t="str">
        <v>Kelurahan Mangkura</v>
      </c>
      <c r="E208">
        <v>48</v>
      </c>
      <c r="F208">
        <v>33</v>
      </c>
      <c r="G208">
        <v>26</v>
      </c>
      <c r="H208">
        <v>17</v>
      </c>
      <c r="I208">
        <v>6</v>
      </c>
      <c r="J208">
        <v>5</v>
      </c>
      <c r="K208">
        <v>31</v>
      </c>
      <c r="L208">
        <v>21</v>
      </c>
      <c r="M208" t="str">
        <v>Malalengga (28Kg), Abd. Rahman (38Kg)</v>
      </c>
      <c r="N208">
        <v>66</v>
      </c>
      <c r="O208">
        <f>E208+G208+I208+K208</f>
      </c>
      <c r="P208">
        <f>F208+H208+J208+L208</f>
      </c>
      <c r="Q208">
        <f>N208</f>
      </c>
      <c r="R208">
        <f>O208+P208+Q208</f>
      </c>
      <c r="S208" t="str">
        <v>Petugas Kebersihan MANGKURA</v>
      </c>
      <c r="T208" t="str">
        <v>Data Resmi Oktober 2026</v>
      </c>
    </row>
    <row r="209">
      <c r="A209">
        <v>208</v>
      </c>
      <c r="B209" t="str">
        <v>2026-10-21</v>
      </c>
      <c r="C209" t="str">
        <v>73.71.01.1008</v>
      </c>
      <c r="D209" t="str">
        <v>Kelurahan Pisang Selatan</v>
      </c>
      <c r="E209">
        <v>9</v>
      </c>
      <c r="F209">
        <v>6</v>
      </c>
      <c r="G209">
        <v>6</v>
      </c>
      <c r="H209">
        <v>3</v>
      </c>
      <c r="I209">
        <v>-7</v>
      </c>
      <c r="J209">
        <v>0</v>
      </c>
      <c r="K209">
        <v>5</v>
      </c>
      <c r="L209">
        <v>2</v>
      </c>
      <c r="M209" t="str">
        <v>-</v>
      </c>
      <c r="N209">
        <v>0</v>
      </c>
      <c r="O209">
        <f>E209+G209+I209+K209</f>
      </c>
      <c r="P209">
        <f>F209+H209+J209+L209</f>
      </c>
      <c r="Q209">
        <f>N209</f>
      </c>
      <c r="R209">
        <f>O209+P209+Q209</f>
      </c>
      <c r="S209" t="str">
        <v>Petugas Kebersihan PISANG SELATAN</v>
      </c>
      <c r="T209" t="str">
        <v>Data Resmi Oktober 2026</v>
      </c>
    </row>
    <row r="210">
      <c r="A210">
        <v>209</v>
      </c>
      <c r="B210" t="str">
        <v>2026-10-21</v>
      </c>
      <c r="C210" t="str">
        <v>73.71.01.1009</v>
      </c>
      <c r="D210" t="str">
        <v>Kelurahan Pisang Utara</v>
      </c>
      <c r="E210">
        <v>1</v>
      </c>
      <c r="F210">
        <v>16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tr">
        <v>-</v>
      </c>
      <c r="N210">
        <v>0</v>
      </c>
      <c r="O210">
        <f>E210+G210+I210+K210</f>
      </c>
      <c r="P210">
        <f>F210+H210+J210+L210</f>
      </c>
      <c r="Q210">
        <f>N210</f>
      </c>
      <c r="R210">
        <f>O210+P210+Q210</f>
      </c>
      <c r="S210" t="str">
        <v>Petugas Kebersihan PISANG UTARA</v>
      </c>
      <c r="T210" t="str">
        <v>Data Resmi Oktober 2026</v>
      </c>
    </row>
    <row r="211">
      <c r="A211">
        <v>210</v>
      </c>
      <c r="B211" t="str">
        <v>2026-10-21</v>
      </c>
      <c r="C211" t="str">
        <v>73.71.01.1010</v>
      </c>
      <c r="D211" t="str">
        <v>Kelurahan Sawerigading</v>
      </c>
      <c r="E211">
        <v>24</v>
      </c>
      <c r="F211">
        <v>3</v>
      </c>
      <c r="G211">
        <v>0</v>
      </c>
      <c r="H211">
        <v>0</v>
      </c>
      <c r="I211">
        <v>0</v>
      </c>
      <c r="J211">
        <v>0</v>
      </c>
      <c r="K211">
        <v>113</v>
      </c>
      <c r="L211">
        <v>0</v>
      </c>
      <c r="M211" t="str">
        <v>Nurdin Aco (37Kg)</v>
      </c>
      <c r="N211">
        <v>37</v>
      </c>
      <c r="O211">
        <f>E211+G211+I211+K211</f>
      </c>
      <c r="P211">
        <f>F211+H211+J211+L211</f>
      </c>
      <c r="Q211">
        <f>N211</f>
      </c>
      <c r="R211">
        <f>O211+P211+Q211</f>
      </c>
      <c r="S211" t="str">
        <v>Petugas Kebersihan SAWERIGADING</v>
      </c>
      <c r="T211" t="str">
        <v>Data Resmi Oktober 2026</v>
      </c>
    </row>
    <row r="212">
      <c r="A212">
        <v>211</v>
      </c>
      <c r="B212" t="str">
        <v>2026-10-22</v>
      </c>
      <c r="C212" t="str">
        <v>73.71.01.1001</v>
      </c>
      <c r="D212" t="str">
        <v>Kelurahan Baru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tr">
        <v>Musliadi</v>
      </c>
      <c r="N212">
        <v>0</v>
      </c>
      <c r="O212">
        <f>E212+G212+I212+K212</f>
      </c>
      <c r="P212">
        <f>F212+H212+J212+L212</f>
      </c>
      <c r="Q212">
        <f>N212</f>
      </c>
      <c r="R212">
        <f>O212+P212+Q212</f>
      </c>
      <c r="S212" t="str">
        <v>Staf Kelurahan Baru</v>
      </c>
      <c r="T212" t="str">
        <v>Siap Diisi</v>
      </c>
    </row>
    <row r="213">
      <c r="A213">
        <v>212</v>
      </c>
      <c r="B213" t="str">
        <v>2026-10-22</v>
      </c>
      <c r="C213" t="str">
        <v>73.71.01.1002</v>
      </c>
      <c r="D213" t="str">
        <v>Kelurahan Bulogading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tr">
        <v>Ansu, Awal Wahid</v>
      </c>
      <c r="N213">
        <v>0</v>
      </c>
      <c r="O213">
        <f>E213+G213+I213+K213</f>
      </c>
      <c r="P213">
        <f>F213+H213+J213+L213</f>
      </c>
      <c r="Q213">
        <f>N213</f>
      </c>
      <c r="R213">
        <f>O213+P213+Q213</f>
      </c>
      <c r="S213" t="str">
        <v>Staf Kelurahan Bulogading</v>
      </c>
      <c r="T213" t="str">
        <v>Siap Diisi</v>
      </c>
    </row>
    <row r="214">
      <c r="A214">
        <v>213</v>
      </c>
      <c r="B214" t="str">
        <v>2026-10-22</v>
      </c>
      <c r="C214" t="str">
        <v>73.71.01.1003</v>
      </c>
      <c r="D214" t="str">
        <v>Kelurahan Lae-Lae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tr">
        <v>-</v>
      </c>
      <c r="N214">
        <v>0</v>
      </c>
      <c r="O214">
        <f>E214+G214+I214+K214</f>
      </c>
      <c r="P214">
        <f>F214+H214+J214+L214</f>
      </c>
      <c r="Q214">
        <f>N214</f>
      </c>
      <c r="R214">
        <f>O214+P214+Q214</f>
      </c>
      <c r="S214" t="str">
        <v>Staf Kelurahan Lae-Lae</v>
      </c>
      <c r="T214" t="str">
        <v>Siap Diisi</v>
      </c>
    </row>
    <row r="215">
      <c r="A215">
        <v>214</v>
      </c>
      <c r="B215" t="str">
        <v>2026-10-22</v>
      </c>
      <c r="C215" t="str">
        <v>73.71.01.1004</v>
      </c>
      <c r="D215" t="str">
        <v>Kelurahan Lajangiru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tr">
        <v>-</v>
      </c>
      <c r="N215">
        <v>0</v>
      </c>
      <c r="O215">
        <f>E215+G215+I215+K215</f>
      </c>
      <c r="P215">
        <f>F215+H215+J215+L215</f>
      </c>
      <c r="Q215">
        <f>N215</f>
      </c>
      <c r="R215">
        <f>O215+P215+Q215</f>
      </c>
      <c r="S215" t="str">
        <v>Staf Kelurahan Lajangiru</v>
      </c>
      <c r="T215" t="str">
        <v>Siap Diisi</v>
      </c>
    </row>
    <row r="216">
      <c r="A216">
        <v>215</v>
      </c>
      <c r="B216" t="str">
        <v>2026-10-22</v>
      </c>
      <c r="C216" t="str">
        <v>73.71.01.1005</v>
      </c>
      <c r="D216" t="str">
        <v>Kelurahan Losari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tr">
        <v>Hasrul</v>
      </c>
      <c r="N216">
        <v>0</v>
      </c>
      <c r="O216">
        <f>E216+G216+I216+K216</f>
      </c>
      <c r="P216">
        <f>F216+H216+J216+L216</f>
      </c>
      <c r="Q216">
        <f>N216</f>
      </c>
      <c r="R216">
        <f>O216+P216+Q216</f>
      </c>
      <c r="S216" t="str">
        <v>Staf Kelurahan Losari</v>
      </c>
      <c r="T216" t="str">
        <v>Siap Diisi</v>
      </c>
    </row>
    <row r="217">
      <c r="A217">
        <v>216</v>
      </c>
      <c r="B217" t="str">
        <v>2026-10-22</v>
      </c>
      <c r="C217" t="str">
        <v>73.71.01.1006</v>
      </c>
      <c r="D217" t="str">
        <v>Kelurahan Maloku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tr">
        <v>Erwin, Samsir</v>
      </c>
      <c r="N217">
        <v>0</v>
      </c>
      <c r="O217">
        <f>E217+G217+I217+K217</f>
      </c>
      <c r="P217">
        <f>F217+H217+J217+L217</f>
      </c>
      <c r="Q217">
        <f>N217</f>
      </c>
      <c r="R217">
        <f>O217+P217+Q217</f>
      </c>
      <c r="S217" t="str">
        <v>Staf Kelurahan Maloku</v>
      </c>
      <c r="T217" t="str">
        <v>Siap Diisi</v>
      </c>
    </row>
    <row r="218">
      <c r="A218">
        <v>217</v>
      </c>
      <c r="B218" t="str">
        <v>2026-10-22</v>
      </c>
      <c r="C218" t="str">
        <v>73.71.01.1007</v>
      </c>
      <c r="D218" t="str">
        <v>Kelurahan Mangkura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tr">
        <v>Malalengga, Abd. Rahman</v>
      </c>
      <c r="N218">
        <v>0</v>
      </c>
      <c r="O218">
        <f>E218+G218+I218+K218</f>
      </c>
      <c r="P218">
        <f>F218+H218+J218+L218</f>
      </c>
      <c r="Q218">
        <f>N218</f>
      </c>
      <c r="R218">
        <f>O218+P218+Q218</f>
      </c>
      <c r="S218" t="str">
        <v>Staf Kelurahan Mangkura</v>
      </c>
      <c r="T218" t="str">
        <v>Siap Diisi</v>
      </c>
    </row>
    <row r="219">
      <c r="A219">
        <v>218</v>
      </c>
      <c r="B219" t="str">
        <v>2026-10-22</v>
      </c>
      <c r="C219" t="str">
        <v>73.71.01.1008</v>
      </c>
      <c r="D219" t="str">
        <v>Kelurahan Pisang Selatan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tr">
        <v>-</v>
      </c>
      <c r="N219">
        <v>0</v>
      </c>
      <c r="O219">
        <f>E219+G219+I219+K219</f>
      </c>
      <c r="P219">
        <f>F219+H219+J219+L219</f>
      </c>
      <c r="Q219">
        <f>N219</f>
      </c>
      <c r="R219">
        <f>O219+P219+Q219</f>
      </c>
      <c r="S219" t="str">
        <v>Staf Kelurahan Pisang Selatan</v>
      </c>
      <c r="T219" t="str">
        <v>Siap Diisi</v>
      </c>
    </row>
    <row r="220">
      <c r="A220">
        <v>219</v>
      </c>
      <c r="B220" t="str">
        <v>2026-10-22</v>
      </c>
      <c r="C220" t="str">
        <v>73.71.01.1009</v>
      </c>
      <c r="D220" t="str">
        <v>Kelurahan Pisang Utara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tr">
        <v>-</v>
      </c>
      <c r="N220">
        <v>0</v>
      </c>
      <c r="O220">
        <f>E220+G220+I220+K220</f>
      </c>
      <c r="P220">
        <f>F220+H220+J220+L220</f>
      </c>
      <c r="Q220">
        <f>N220</f>
      </c>
      <c r="R220">
        <f>O220+P220+Q220</f>
      </c>
      <c r="S220" t="str">
        <v>Staf Kelurahan Pisang Utara</v>
      </c>
      <c r="T220" t="str">
        <v>Siap Diisi</v>
      </c>
    </row>
    <row r="221">
      <c r="A221">
        <v>220</v>
      </c>
      <c r="B221" t="str">
        <v>2026-10-22</v>
      </c>
      <c r="C221" t="str">
        <v>73.71.01.1010</v>
      </c>
      <c r="D221" t="str">
        <v>Kelurahan Sawerigading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tr">
        <v>Nurdin Aco</v>
      </c>
      <c r="N221">
        <v>0</v>
      </c>
      <c r="O221">
        <f>E221+G221+I221+K221</f>
      </c>
      <c r="P221">
        <f>F221+H221+J221+L221</f>
      </c>
      <c r="Q221">
        <f>N221</f>
      </c>
      <c r="R221">
        <f>O221+P221+Q221</f>
      </c>
      <c r="S221" t="str">
        <v>Staf Kelurahan Sawerigading</v>
      </c>
      <c r="T221" t="str">
        <v>Siap Diisi</v>
      </c>
    </row>
    <row r="222">
      <c r="A222">
        <v>221</v>
      </c>
      <c r="B222" t="str">
        <v>2026-10-23</v>
      </c>
      <c r="C222" t="str">
        <v>73.71.01.1001</v>
      </c>
      <c r="D222" t="str">
        <v>Kelurahan Baru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tr">
        <v>Musliadi</v>
      </c>
      <c r="N222">
        <v>0</v>
      </c>
      <c r="O222">
        <f>E222+G222+I222+K222</f>
      </c>
      <c r="P222">
        <f>F222+H222+J222+L222</f>
      </c>
      <c r="Q222">
        <f>N222</f>
      </c>
      <c r="R222">
        <f>O222+P222+Q222</f>
      </c>
      <c r="S222" t="str">
        <v>Staf Kelurahan Baru</v>
      </c>
      <c r="T222" t="str">
        <v>Siap Diisi</v>
      </c>
    </row>
    <row r="223">
      <c r="A223">
        <v>222</v>
      </c>
      <c r="B223" t="str">
        <v>2026-10-23</v>
      </c>
      <c r="C223" t="str">
        <v>73.71.01.1002</v>
      </c>
      <c r="D223" t="str">
        <v>Kelurahan Bulogading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tr">
        <v>Ansu, Awal Wahid</v>
      </c>
      <c r="N223">
        <v>0</v>
      </c>
      <c r="O223">
        <f>E223+G223+I223+K223</f>
      </c>
      <c r="P223">
        <f>F223+H223+J223+L223</f>
      </c>
      <c r="Q223">
        <f>N223</f>
      </c>
      <c r="R223">
        <f>O223+P223+Q223</f>
      </c>
      <c r="S223" t="str">
        <v>Staf Kelurahan Bulogading</v>
      </c>
      <c r="T223" t="str">
        <v>Siap Diisi</v>
      </c>
    </row>
    <row r="224">
      <c r="A224">
        <v>223</v>
      </c>
      <c r="B224" t="str">
        <v>2026-10-23</v>
      </c>
      <c r="C224" t="str">
        <v>73.71.01.1003</v>
      </c>
      <c r="D224" t="str">
        <v>Kelurahan Lae-Lae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tr">
        <v>-</v>
      </c>
      <c r="N224">
        <v>0</v>
      </c>
      <c r="O224">
        <f>E224+G224+I224+K224</f>
      </c>
      <c r="P224">
        <f>F224+H224+J224+L224</f>
      </c>
      <c r="Q224">
        <f>N224</f>
      </c>
      <c r="R224">
        <f>O224+P224+Q224</f>
      </c>
      <c r="S224" t="str">
        <v>Staf Kelurahan Lae-Lae</v>
      </c>
      <c r="T224" t="str">
        <v>Siap Diisi</v>
      </c>
    </row>
    <row r="225">
      <c r="A225">
        <v>224</v>
      </c>
      <c r="B225" t="str">
        <v>2026-10-23</v>
      </c>
      <c r="C225" t="str">
        <v>73.71.01.1004</v>
      </c>
      <c r="D225" t="str">
        <v>Kelurahan Lajangiru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tr">
        <v>-</v>
      </c>
      <c r="N225">
        <v>0</v>
      </c>
      <c r="O225">
        <f>E225+G225+I225+K225</f>
      </c>
      <c r="P225">
        <f>F225+H225+J225+L225</f>
      </c>
      <c r="Q225">
        <f>N225</f>
      </c>
      <c r="R225">
        <f>O225+P225+Q225</f>
      </c>
      <c r="S225" t="str">
        <v>Staf Kelurahan Lajangiru</v>
      </c>
      <c r="T225" t="str">
        <v>Siap Diisi</v>
      </c>
    </row>
    <row r="226">
      <c r="A226">
        <v>225</v>
      </c>
      <c r="B226" t="str">
        <v>2026-10-23</v>
      </c>
      <c r="C226" t="str">
        <v>73.71.01.1005</v>
      </c>
      <c r="D226" t="str">
        <v>Kelurahan Losari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tr">
        <v>Hasrul</v>
      </c>
      <c r="N226">
        <v>0</v>
      </c>
      <c r="O226">
        <f>E226+G226+I226+K226</f>
      </c>
      <c r="P226">
        <f>F226+H226+J226+L226</f>
      </c>
      <c r="Q226">
        <f>N226</f>
      </c>
      <c r="R226">
        <f>O226+P226+Q226</f>
      </c>
      <c r="S226" t="str">
        <v>Staf Kelurahan Losari</v>
      </c>
      <c r="T226" t="str">
        <v>Siap Diisi</v>
      </c>
    </row>
    <row r="227">
      <c r="A227">
        <v>226</v>
      </c>
      <c r="B227" t="str">
        <v>2026-10-23</v>
      </c>
      <c r="C227" t="str">
        <v>73.71.01.1006</v>
      </c>
      <c r="D227" t="str">
        <v>Kelurahan Maloku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tr">
        <v>Erwin, Samsir</v>
      </c>
      <c r="N227">
        <v>0</v>
      </c>
      <c r="O227">
        <f>E227+G227+I227+K227</f>
      </c>
      <c r="P227">
        <f>F227+H227+J227+L227</f>
      </c>
      <c r="Q227">
        <f>N227</f>
      </c>
      <c r="R227">
        <f>O227+P227+Q227</f>
      </c>
      <c r="S227" t="str">
        <v>Staf Kelurahan Maloku</v>
      </c>
      <c r="T227" t="str">
        <v>Siap Diisi</v>
      </c>
    </row>
    <row r="228">
      <c r="A228">
        <v>227</v>
      </c>
      <c r="B228" t="str">
        <v>2026-10-23</v>
      </c>
      <c r="C228" t="str">
        <v>73.71.01.1007</v>
      </c>
      <c r="D228" t="str">
        <v>Kelurahan Mangkura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tr">
        <v>Malalengga, Abd. Rahman</v>
      </c>
      <c r="N228">
        <v>0</v>
      </c>
      <c r="O228">
        <f>E228+G228+I228+K228</f>
      </c>
      <c r="P228">
        <f>F228+H228+J228+L228</f>
      </c>
      <c r="Q228">
        <f>N228</f>
      </c>
      <c r="R228">
        <f>O228+P228+Q228</f>
      </c>
      <c r="S228" t="str">
        <v>Staf Kelurahan Mangkura</v>
      </c>
      <c r="T228" t="str">
        <v>Siap Diisi</v>
      </c>
    </row>
    <row r="229">
      <c r="A229">
        <v>228</v>
      </c>
      <c r="B229" t="str">
        <v>2026-10-23</v>
      </c>
      <c r="C229" t="str">
        <v>73.71.01.1008</v>
      </c>
      <c r="D229" t="str">
        <v>Kelurahan Pisang Selatan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tr">
        <v>-</v>
      </c>
      <c r="N229">
        <v>0</v>
      </c>
      <c r="O229">
        <f>E229+G229+I229+K229</f>
      </c>
      <c r="P229">
        <f>F229+H229+J229+L229</f>
      </c>
      <c r="Q229">
        <f>N229</f>
      </c>
      <c r="R229">
        <f>O229+P229+Q229</f>
      </c>
      <c r="S229" t="str">
        <v>Staf Kelurahan Pisang Selatan</v>
      </c>
      <c r="T229" t="str">
        <v>Siap Diisi</v>
      </c>
    </row>
    <row r="230">
      <c r="A230">
        <v>229</v>
      </c>
      <c r="B230" t="str">
        <v>2026-10-23</v>
      </c>
      <c r="C230" t="str">
        <v>73.71.01.1009</v>
      </c>
      <c r="D230" t="str">
        <v>Kelurahan Pisang Utara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tr">
        <v>-</v>
      </c>
      <c r="N230">
        <v>0</v>
      </c>
      <c r="O230">
        <f>E230+G230+I230+K230</f>
      </c>
      <c r="P230">
        <f>F230+H230+J230+L230</f>
      </c>
      <c r="Q230">
        <f>N230</f>
      </c>
      <c r="R230">
        <f>O230+P230+Q230</f>
      </c>
      <c r="S230" t="str">
        <v>Staf Kelurahan Pisang Utara</v>
      </c>
      <c r="T230" t="str">
        <v>Siap Diisi</v>
      </c>
    </row>
    <row r="231">
      <c r="A231">
        <v>230</v>
      </c>
      <c r="B231" t="str">
        <v>2026-10-23</v>
      </c>
      <c r="C231" t="str">
        <v>73.71.01.1010</v>
      </c>
      <c r="D231" t="str">
        <v>Kelurahan Sawerigading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str">
        <v>Nurdin Aco</v>
      </c>
      <c r="N231">
        <v>0</v>
      </c>
      <c r="O231">
        <f>E231+G231+I231+K231</f>
      </c>
      <c r="P231">
        <f>F231+H231+J231+L231</f>
      </c>
      <c r="Q231">
        <f>N231</f>
      </c>
      <c r="R231">
        <f>O231+P231+Q231</f>
      </c>
      <c r="S231" t="str">
        <v>Staf Kelurahan Sawerigading</v>
      </c>
      <c r="T231" t="str">
        <v>Siap Diisi</v>
      </c>
    </row>
    <row r="232">
      <c r="A232">
        <v>231</v>
      </c>
      <c r="B232" t="str">
        <v>2026-10-24</v>
      </c>
      <c r="C232" t="str">
        <v>73.71.01.1001</v>
      </c>
      <c r="D232" t="str">
        <v>Kelurahan Baru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tr">
        <v>Musliadi</v>
      </c>
      <c r="N232">
        <v>0</v>
      </c>
      <c r="O232">
        <f>E232+G232+I232+K232</f>
      </c>
      <c r="P232">
        <f>F232+H232+J232+L232</f>
      </c>
      <c r="Q232">
        <f>N232</f>
      </c>
      <c r="R232">
        <f>O232+P232+Q232</f>
      </c>
      <c r="S232" t="str">
        <v>Staf Kelurahan Baru</v>
      </c>
      <c r="T232" t="str">
        <v>Siap Diisi</v>
      </c>
    </row>
    <row r="233">
      <c r="A233">
        <v>232</v>
      </c>
      <c r="B233" t="str">
        <v>2026-10-24</v>
      </c>
      <c r="C233" t="str">
        <v>73.71.01.1002</v>
      </c>
      <c r="D233" t="str">
        <v>Kelurahan Bulogading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tr">
        <v>Ansu, Awal Wahid</v>
      </c>
      <c r="N233">
        <v>0</v>
      </c>
      <c r="O233">
        <f>E233+G233+I233+K233</f>
      </c>
      <c r="P233">
        <f>F233+H233+J233+L233</f>
      </c>
      <c r="Q233">
        <f>N233</f>
      </c>
      <c r="R233">
        <f>O233+P233+Q233</f>
      </c>
      <c r="S233" t="str">
        <v>Staf Kelurahan Bulogading</v>
      </c>
      <c r="T233" t="str">
        <v>Siap Diisi</v>
      </c>
    </row>
    <row r="234">
      <c r="A234">
        <v>233</v>
      </c>
      <c r="B234" t="str">
        <v>2026-10-24</v>
      </c>
      <c r="C234" t="str">
        <v>73.71.01.1003</v>
      </c>
      <c r="D234" t="str">
        <v>Kelurahan Lae-Lae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tr">
        <v>-</v>
      </c>
      <c r="N234">
        <v>0</v>
      </c>
      <c r="O234">
        <f>E234+G234+I234+K234</f>
      </c>
      <c r="P234">
        <f>F234+H234+J234+L234</f>
      </c>
      <c r="Q234">
        <f>N234</f>
      </c>
      <c r="R234">
        <f>O234+P234+Q234</f>
      </c>
      <c r="S234" t="str">
        <v>Staf Kelurahan Lae-Lae</v>
      </c>
      <c r="T234" t="str">
        <v>Siap Diisi</v>
      </c>
    </row>
    <row r="235">
      <c r="A235">
        <v>234</v>
      </c>
      <c r="B235" t="str">
        <v>2026-10-24</v>
      </c>
      <c r="C235" t="str">
        <v>73.71.01.1004</v>
      </c>
      <c r="D235" t="str">
        <v>Kelurahan Lajangiru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tr">
        <v>-</v>
      </c>
      <c r="N235">
        <v>0</v>
      </c>
      <c r="O235">
        <f>E235+G235+I235+K235</f>
      </c>
      <c r="P235">
        <f>F235+H235+J235+L235</f>
      </c>
      <c r="Q235">
        <f>N235</f>
      </c>
      <c r="R235">
        <f>O235+P235+Q235</f>
      </c>
      <c r="S235" t="str">
        <v>Staf Kelurahan Lajangiru</v>
      </c>
      <c r="T235" t="str">
        <v>Siap Diisi</v>
      </c>
    </row>
    <row r="236">
      <c r="A236">
        <v>235</v>
      </c>
      <c r="B236" t="str">
        <v>2026-10-24</v>
      </c>
      <c r="C236" t="str">
        <v>73.71.01.1005</v>
      </c>
      <c r="D236" t="str">
        <v>Kelurahan Losari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tr">
        <v>Hasrul</v>
      </c>
      <c r="N236">
        <v>0</v>
      </c>
      <c r="O236">
        <f>E236+G236+I236+K236</f>
      </c>
      <c r="P236">
        <f>F236+H236+J236+L236</f>
      </c>
      <c r="Q236">
        <f>N236</f>
      </c>
      <c r="R236">
        <f>O236+P236+Q236</f>
      </c>
      <c r="S236" t="str">
        <v>Staf Kelurahan Losari</v>
      </c>
      <c r="T236" t="str">
        <v>Siap Diisi</v>
      </c>
    </row>
    <row r="237">
      <c r="A237">
        <v>236</v>
      </c>
      <c r="B237" t="str">
        <v>2026-10-24</v>
      </c>
      <c r="C237" t="str">
        <v>73.71.01.1006</v>
      </c>
      <c r="D237" t="str">
        <v>Kelurahan Maloku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tr">
        <v>Erwin, Samsir</v>
      </c>
      <c r="N237">
        <v>0</v>
      </c>
      <c r="O237">
        <f>E237+G237+I237+K237</f>
      </c>
      <c r="P237">
        <f>F237+H237+J237+L237</f>
      </c>
      <c r="Q237">
        <f>N237</f>
      </c>
      <c r="R237">
        <f>O237+P237+Q237</f>
      </c>
      <c r="S237" t="str">
        <v>Staf Kelurahan Maloku</v>
      </c>
      <c r="T237" t="str">
        <v>Siap Diisi</v>
      </c>
    </row>
    <row r="238">
      <c r="A238">
        <v>237</v>
      </c>
      <c r="B238" t="str">
        <v>2026-10-24</v>
      </c>
      <c r="C238" t="str">
        <v>73.71.01.1007</v>
      </c>
      <c r="D238" t="str">
        <v>Kelurahan Mangkura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tr">
        <v>Malalengga, Abd. Rahman</v>
      </c>
      <c r="N238">
        <v>0</v>
      </c>
      <c r="O238">
        <f>E238+G238+I238+K238</f>
      </c>
      <c r="P238">
        <f>F238+H238+J238+L238</f>
      </c>
      <c r="Q238">
        <f>N238</f>
      </c>
      <c r="R238">
        <f>O238+P238+Q238</f>
      </c>
      <c r="S238" t="str">
        <v>Staf Kelurahan Mangkura</v>
      </c>
      <c r="T238" t="str">
        <v>Siap Diisi</v>
      </c>
    </row>
    <row r="239">
      <c r="A239">
        <v>238</v>
      </c>
      <c r="B239" t="str">
        <v>2026-10-24</v>
      </c>
      <c r="C239" t="str">
        <v>73.71.01.1008</v>
      </c>
      <c r="D239" t="str">
        <v>Kelurahan Pisang Selatan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tr">
        <v>-</v>
      </c>
      <c r="N239">
        <v>0</v>
      </c>
      <c r="O239">
        <f>E239+G239+I239+K239</f>
      </c>
      <c r="P239">
        <f>F239+H239+J239+L239</f>
      </c>
      <c r="Q239">
        <f>N239</f>
      </c>
      <c r="R239">
        <f>O239+P239+Q239</f>
      </c>
      <c r="S239" t="str">
        <v>Staf Kelurahan Pisang Selatan</v>
      </c>
      <c r="T239" t="str">
        <v>Siap Diisi</v>
      </c>
    </row>
    <row r="240">
      <c r="A240">
        <v>239</v>
      </c>
      <c r="B240" t="str">
        <v>2026-10-24</v>
      </c>
      <c r="C240" t="str">
        <v>73.71.01.1009</v>
      </c>
      <c r="D240" t="str">
        <v>Kelurahan Pisang Utara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tr">
        <v>-</v>
      </c>
      <c r="N240">
        <v>0</v>
      </c>
      <c r="O240">
        <f>E240+G240+I240+K240</f>
      </c>
      <c r="P240">
        <f>F240+H240+J240+L240</f>
      </c>
      <c r="Q240">
        <f>N240</f>
      </c>
      <c r="R240">
        <f>O240+P240+Q240</f>
      </c>
      <c r="S240" t="str">
        <v>Staf Kelurahan Pisang Utara</v>
      </c>
      <c r="T240" t="str">
        <v>Siap Diisi</v>
      </c>
    </row>
    <row r="241">
      <c r="A241">
        <v>240</v>
      </c>
      <c r="B241" t="str">
        <v>2026-10-24</v>
      </c>
      <c r="C241" t="str">
        <v>73.71.01.1010</v>
      </c>
      <c r="D241" t="str">
        <v>Kelurahan Sawerigading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tr">
        <v>Nurdin Aco</v>
      </c>
      <c r="N241">
        <v>0</v>
      </c>
      <c r="O241">
        <f>E241+G241+I241+K241</f>
      </c>
      <c r="P241">
        <f>F241+H241+J241+L241</f>
      </c>
      <c r="Q241">
        <f>N241</f>
      </c>
      <c r="R241">
        <f>O241+P241+Q241</f>
      </c>
      <c r="S241" t="str">
        <v>Staf Kelurahan Sawerigading</v>
      </c>
      <c r="T241" t="str">
        <v>Siap Diisi</v>
      </c>
    </row>
    <row r="242">
      <c r="A242">
        <v>241</v>
      </c>
      <c r="B242" t="str">
        <v>2026-10-25</v>
      </c>
      <c r="C242" t="str">
        <v>73.71.01.1001</v>
      </c>
      <c r="D242" t="str">
        <v>Kelurahan Baru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tr">
        <v>Musliadi</v>
      </c>
      <c r="N242">
        <v>0</v>
      </c>
      <c r="O242">
        <f>E242+G242+I242+K242</f>
      </c>
      <c r="P242">
        <f>F242+H242+J242+L242</f>
      </c>
      <c r="Q242">
        <f>N242</f>
      </c>
      <c r="R242">
        <f>O242+P242+Q242</f>
      </c>
      <c r="S242" t="str">
        <v>Staf Kelurahan Baru</v>
      </c>
      <c r="T242" t="str">
        <v>Siap Diisi</v>
      </c>
    </row>
    <row r="243">
      <c r="A243">
        <v>242</v>
      </c>
      <c r="B243" t="str">
        <v>2026-10-25</v>
      </c>
      <c r="C243" t="str">
        <v>73.71.01.1002</v>
      </c>
      <c r="D243" t="str">
        <v>Kelurahan Bulogading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tr">
        <v>Ansu, Awal Wahid</v>
      </c>
      <c r="N243">
        <v>0</v>
      </c>
      <c r="O243">
        <f>E243+G243+I243+K243</f>
      </c>
      <c r="P243">
        <f>F243+H243+J243+L243</f>
      </c>
      <c r="Q243">
        <f>N243</f>
      </c>
      <c r="R243">
        <f>O243+P243+Q243</f>
      </c>
      <c r="S243" t="str">
        <v>Staf Kelurahan Bulogading</v>
      </c>
      <c r="T243" t="str">
        <v>Siap Diisi</v>
      </c>
    </row>
    <row r="244">
      <c r="A244">
        <v>243</v>
      </c>
      <c r="B244" t="str">
        <v>2026-10-25</v>
      </c>
      <c r="C244" t="str">
        <v>73.71.01.1003</v>
      </c>
      <c r="D244" t="str">
        <v>Kelurahan Lae-Lae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tr">
        <v>-</v>
      </c>
      <c r="N244">
        <v>0</v>
      </c>
      <c r="O244">
        <f>E244+G244+I244+K244</f>
      </c>
      <c r="P244">
        <f>F244+H244+J244+L244</f>
      </c>
      <c r="Q244">
        <f>N244</f>
      </c>
      <c r="R244">
        <f>O244+P244+Q244</f>
      </c>
      <c r="S244" t="str">
        <v>Staf Kelurahan Lae-Lae</v>
      </c>
      <c r="T244" t="str">
        <v>Siap Diisi</v>
      </c>
    </row>
    <row r="245">
      <c r="A245">
        <v>244</v>
      </c>
      <c r="B245" t="str">
        <v>2026-10-25</v>
      </c>
      <c r="C245" t="str">
        <v>73.71.01.1004</v>
      </c>
      <c r="D245" t="str">
        <v>Kelurahan Lajangiru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tr">
        <v>-</v>
      </c>
      <c r="N245">
        <v>0</v>
      </c>
      <c r="O245">
        <f>E245+G245+I245+K245</f>
      </c>
      <c r="P245">
        <f>F245+H245+J245+L245</f>
      </c>
      <c r="Q245">
        <f>N245</f>
      </c>
      <c r="R245">
        <f>O245+P245+Q245</f>
      </c>
      <c r="S245" t="str">
        <v>Staf Kelurahan Lajangiru</v>
      </c>
      <c r="T245" t="str">
        <v>Siap Diisi</v>
      </c>
    </row>
    <row r="246">
      <c r="A246">
        <v>245</v>
      </c>
      <c r="B246" t="str">
        <v>2026-10-25</v>
      </c>
      <c r="C246" t="str">
        <v>73.71.01.1005</v>
      </c>
      <c r="D246" t="str">
        <v>Kelurahan Losari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tr">
        <v>Hasrul</v>
      </c>
      <c r="N246">
        <v>0</v>
      </c>
      <c r="O246">
        <f>E246+G246+I246+K246</f>
      </c>
      <c r="P246">
        <f>F246+H246+J246+L246</f>
      </c>
      <c r="Q246">
        <f>N246</f>
      </c>
      <c r="R246">
        <f>O246+P246+Q246</f>
      </c>
      <c r="S246" t="str">
        <v>Staf Kelurahan Losari</v>
      </c>
      <c r="T246" t="str">
        <v>Siap Diisi</v>
      </c>
    </row>
    <row r="247">
      <c r="A247">
        <v>246</v>
      </c>
      <c r="B247" t="str">
        <v>2026-10-25</v>
      </c>
      <c r="C247" t="str">
        <v>73.71.01.1006</v>
      </c>
      <c r="D247" t="str">
        <v>Kelurahan Maloku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str">
        <v>Erwin, Samsir</v>
      </c>
      <c r="N247">
        <v>0</v>
      </c>
      <c r="O247">
        <f>E247+G247+I247+K247</f>
      </c>
      <c r="P247">
        <f>F247+H247+J247+L247</f>
      </c>
      <c r="Q247">
        <f>N247</f>
      </c>
      <c r="R247">
        <f>O247+P247+Q247</f>
      </c>
      <c r="S247" t="str">
        <v>Staf Kelurahan Maloku</v>
      </c>
      <c r="T247" t="str">
        <v>Siap Diisi</v>
      </c>
    </row>
    <row r="248">
      <c r="A248">
        <v>247</v>
      </c>
      <c r="B248" t="str">
        <v>2026-10-25</v>
      </c>
      <c r="C248" t="str">
        <v>73.71.01.1007</v>
      </c>
      <c r="D248" t="str">
        <v>Kelurahan Mangkura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tr">
        <v>Malalengga, Abd. Rahman</v>
      </c>
      <c r="N248">
        <v>0</v>
      </c>
      <c r="O248">
        <f>E248+G248+I248+K248</f>
      </c>
      <c r="P248">
        <f>F248+H248+J248+L248</f>
      </c>
      <c r="Q248">
        <f>N248</f>
      </c>
      <c r="R248">
        <f>O248+P248+Q248</f>
      </c>
      <c r="S248" t="str">
        <v>Staf Kelurahan Mangkura</v>
      </c>
      <c r="T248" t="str">
        <v>Siap Diisi</v>
      </c>
    </row>
    <row r="249">
      <c r="A249">
        <v>248</v>
      </c>
      <c r="B249" t="str">
        <v>2026-10-25</v>
      </c>
      <c r="C249" t="str">
        <v>73.71.01.1008</v>
      </c>
      <c r="D249" t="str">
        <v>Kelurahan Pisang Selatan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tr">
        <v>-</v>
      </c>
      <c r="N249">
        <v>0</v>
      </c>
      <c r="O249">
        <f>E249+G249+I249+K249</f>
      </c>
      <c r="P249">
        <f>F249+H249+J249+L249</f>
      </c>
      <c r="Q249">
        <f>N249</f>
      </c>
      <c r="R249">
        <f>O249+P249+Q249</f>
      </c>
      <c r="S249" t="str">
        <v>Staf Kelurahan Pisang Selatan</v>
      </c>
      <c r="T249" t="str">
        <v>Siap Diisi</v>
      </c>
    </row>
    <row r="250">
      <c r="A250">
        <v>249</v>
      </c>
      <c r="B250" t="str">
        <v>2026-10-25</v>
      </c>
      <c r="C250" t="str">
        <v>73.71.01.1009</v>
      </c>
      <c r="D250" t="str">
        <v>Kelurahan Pisang Utara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tr">
        <v>-</v>
      </c>
      <c r="N250">
        <v>0</v>
      </c>
      <c r="O250">
        <f>E250+G250+I250+K250</f>
      </c>
      <c r="P250">
        <f>F250+H250+J250+L250</f>
      </c>
      <c r="Q250">
        <f>N250</f>
      </c>
      <c r="R250">
        <f>O250+P250+Q250</f>
      </c>
      <c r="S250" t="str">
        <v>Staf Kelurahan Pisang Utara</v>
      </c>
      <c r="T250" t="str">
        <v>Siap Diisi</v>
      </c>
    </row>
    <row r="251">
      <c r="A251">
        <v>250</v>
      </c>
      <c r="B251" t="str">
        <v>2026-10-25</v>
      </c>
      <c r="C251" t="str">
        <v>73.71.01.1010</v>
      </c>
      <c r="D251" t="str">
        <v>Kelurahan Sawerigading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tr">
        <v>Nurdin Aco</v>
      </c>
      <c r="N251">
        <v>0</v>
      </c>
      <c r="O251">
        <f>E251+G251+I251+K251</f>
      </c>
      <c r="P251">
        <f>F251+H251+J251+L251</f>
      </c>
      <c r="Q251">
        <f>N251</f>
      </c>
      <c r="R251">
        <f>O251+P251+Q251</f>
      </c>
      <c r="S251" t="str">
        <v>Staf Kelurahan Sawerigading</v>
      </c>
      <c r="T251" t="str">
        <v>Siap Diisi</v>
      </c>
    </row>
  </sheetData>
  <ignoredErrors>
    <ignoredError numberStoredAsText="1" sqref="A1:T2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6.83203125" customWidth="1"/>
    <col min="2" max="2" width="35.83203125" customWidth="1"/>
    <col min="3" max="3" width="25.83203125" customWidth="1"/>
    <col min="4" max="4" width="15.83203125" customWidth="1"/>
  </cols>
  <sheetData>
    <row r="1">
      <c r="A1" t="str">
        <v>REKAP SAMPAH ORGANIK KECAMATAN UJUNG PANDANG</v>
      </c>
    </row>
    <row r="2">
      <c r="A2" t="str">
        <v>Pemerintah Kota Makassar - Rekapitulasi Harian</v>
      </c>
    </row>
    <row r="3">
      <c r="A3" t="str">
        <v/>
      </c>
    </row>
    <row r="4">
      <c r="A4" t="str">
        <v>Parameter Tanggal:</v>
      </c>
      <c r="B4" t="str">
        <v>2026-10-20</v>
      </c>
      <c r="C4" t="str">
        <v>(Ubah tanggal di sini untuk merekap hari lain)</v>
      </c>
    </row>
    <row r="5">
      <c r="A5" t="str">
        <v>Hari/Tanggal Terpilih:</v>
      </c>
      <c r="B5" t="str">
        <v>Hari Selasa, 20 Oktober 2026</v>
      </c>
    </row>
    <row r="6">
      <c r="A6" t="str">
        <v/>
      </c>
    </row>
    <row r="7">
      <c r="A7" t="str">
        <v>No</v>
      </c>
      <c r="B7" t="str">
        <v>Kelurahan</v>
      </c>
      <c r="C7" t="str">
        <v>Total Sampah Organik (Kg)</v>
      </c>
      <c r="D7" t="str">
        <v>Keterangan</v>
      </c>
    </row>
    <row r="8">
      <c r="A8">
        <v>1</v>
      </c>
      <c r="B8" t="str">
        <v>Kelurahan Baru</v>
      </c>
      <c r="C8">
        <f>SUMIFS(INPUT_HARIAN!R:R, INPUT_HARIAN!B:B, $B$4, INPUT_HARIAN!D:D, "Kelurahan Baru")</f>
      </c>
      <c r="D8" t="str">
        <v>Kg</v>
      </c>
    </row>
    <row r="9">
      <c r="A9">
        <v>2</v>
      </c>
      <c r="B9" t="str">
        <v>Kelurahan Bulogading</v>
      </c>
      <c r="C9">
        <f>SUMIFS(INPUT_HARIAN!R:R, INPUT_HARIAN!B:B, $B$4, INPUT_HARIAN!D:D, "Kelurahan Bulogading")</f>
      </c>
      <c r="D9" t="str">
        <v>Kg</v>
      </c>
    </row>
    <row r="10">
      <c r="A10">
        <v>3</v>
      </c>
      <c r="B10" t="str">
        <v>Kelurahan Lae-Lae</v>
      </c>
      <c r="C10">
        <f>SUMIFS(INPUT_HARIAN!R:R, INPUT_HARIAN!B:B, $B$4, INPUT_HARIAN!D:D, "Kelurahan Lae-Lae")</f>
      </c>
      <c r="D10" t="str">
        <v>Kg</v>
      </c>
    </row>
    <row r="11">
      <c r="A11">
        <v>4</v>
      </c>
      <c r="B11" t="str">
        <v>Kelurahan Lajangiru</v>
      </c>
      <c r="C11">
        <f>SUMIFS(INPUT_HARIAN!R:R, INPUT_HARIAN!B:B, $B$4, INPUT_HARIAN!D:D, "Kelurahan Lajangiru")</f>
      </c>
      <c r="D11" t="str">
        <v>Kg</v>
      </c>
    </row>
    <row r="12">
      <c r="A12">
        <v>5</v>
      </c>
      <c r="B12" t="str">
        <v>Kelurahan Losari</v>
      </c>
      <c r="C12">
        <f>SUMIFS(INPUT_HARIAN!R:R, INPUT_HARIAN!B:B, $B$4, INPUT_HARIAN!D:D, "Kelurahan Losari")</f>
      </c>
      <c r="D12" t="str">
        <v>Kg</v>
      </c>
    </row>
    <row r="13">
      <c r="A13">
        <v>6</v>
      </c>
      <c r="B13" t="str">
        <v>Kelurahan Maloku</v>
      </c>
      <c r="C13">
        <f>SUMIFS(INPUT_HARIAN!R:R, INPUT_HARIAN!B:B, $B$4, INPUT_HARIAN!D:D, "Kelurahan Maloku")</f>
      </c>
      <c r="D13" t="str">
        <v>Kg</v>
      </c>
    </row>
    <row r="14">
      <c r="A14">
        <v>7</v>
      </c>
      <c r="B14" t="str">
        <v>Kelurahan Mangkura</v>
      </c>
      <c r="C14">
        <f>SUMIFS(INPUT_HARIAN!R:R, INPUT_HARIAN!B:B, $B$4, INPUT_HARIAN!D:D, "Kelurahan Mangkura")</f>
      </c>
      <c r="D14" t="str">
        <v>Kg</v>
      </c>
    </row>
    <row r="15">
      <c r="A15">
        <v>8</v>
      </c>
      <c r="B15" t="str">
        <v>Kelurahan Pisang Selatan</v>
      </c>
      <c r="C15">
        <f>SUMIFS(INPUT_HARIAN!R:R, INPUT_HARIAN!B:B, $B$4, INPUT_HARIAN!D:D, "Kelurahan Pisang Selatan")</f>
      </c>
      <c r="D15" t="str">
        <v>Kg</v>
      </c>
    </row>
    <row r="16">
      <c r="A16">
        <v>9</v>
      </c>
      <c r="B16" t="str">
        <v>Kelurahan Pisang Utara</v>
      </c>
      <c r="C16">
        <f>SUMIFS(INPUT_HARIAN!R:R, INPUT_HARIAN!B:B, $B$4, INPUT_HARIAN!D:D, "Kelurahan Pisang Utara")</f>
      </c>
      <c r="D16" t="str">
        <v>Kg</v>
      </c>
    </row>
    <row r="17">
      <c r="A17">
        <v>10</v>
      </c>
      <c r="B17" t="str">
        <v>Kelurahan Sawerigading</v>
      </c>
      <c r="C17">
        <f>SUMIFS(INPUT_HARIAN!R:R, INPUT_HARIAN!B:B, $B$4, INPUT_HARIAN!D:D, "Kelurahan Sawerigading")</f>
      </c>
      <c r="D17" t="str">
        <v>Kg</v>
      </c>
    </row>
    <row r="18">
      <c r="A18" t="str">
        <v/>
      </c>
      <c r="B18" t="str">
        <v>TOTAL SAMPAH ORGANIK</v>
      </c>
      <c r="C18">
        <f>SUM(C8:C17)</f>
      </c>
      <c r="D18" t="str">
        <v>Kg</v>
      </c>
    </row>
    <row r="19">
      <c r="A19" t="str">
        <v/>
      </c>
    </row>
    <row r="20">
      <c r="A20" t="str">
        <v>PENGELOLAAN SAMPAH ORGANIK</v>
      </c>
    </row>
    <row r="21">
      <c r="A21" t="str">
        <v>*</v>
      </c>
      <c r="B21" t="str">
        <v>Kapasa (Bosowa)</v>
      </c>
      <c r="C21">
        <v>0</v>
      </c>
      <c r="D21" t="str">
        <v>Kg</v>
      </c>
    </row>
    <row r="22">
      <c r="A22" t="str">
        <v>*</v>
      </c>
      <c r="B22" t="str">
        <v>Bintang 5</v>
      </c>
      <c r="C22">
        <v>1108</v>
      </c>
      <c r="D22" t="str">
        <v>Kg</v>
      </c>
    </row>
    <row r="23">
      <c r="A23" t="str">
        <v>*</v>
      </c>
      <c r="B23" t="str">
        <v>Pengelolaan Teba</v>
      </c>
      <c r="C23">
        <v>0</v>
      </c>
      <c r="D23" t="str">
        <v>Kg</v>
      </c>
    </row>
    <row r="24">
      <c r="A24" t="str">
        <v>*</v>
      </c>
      <c r="B24" t="str">
        <v>Pakan Ternak</v>
      </c>
      <c r="C24">
        <f>SUMIFS(INPUT_HARIAN!Q:Q, INPUT_HARIAN!B:B, $B$4)</f>
      </c>
      <c r="D24" t="str">
        <v>Kg</v>
      </c>
    </row>
    <row r="25">
      <c r="A25" t="str">
        <v>*</v>
      </c>
      <c r="B25" t="str">
        <v>Pengelolaan Biopori</v>
      </c>
      <c r="C25">
        <v>0</v>
      </c>
      <c r="D25" t="str">
        <v>Kg</v>
      </c>
    </row>
    <row r="26">
      <c r="A26" t="str">
        <v>*</v>
      </c>
      <c r="B26" t="str">
        <v>TPS3R KAREBOSI</v>
      </c>
      <c r="C26">
        <v>780</v>
      </c>
      <c r="D26" t="str">
        <v>Kg</v>
      </c>
    </row>
    <row r="27">
      <c r="A27" t="str">
        <v/>
      </c>
      <c r="B27" t="str">
        <v>'-Maggot</v>
      </c>
      <c r="C27">
        <v>780</v>
      </c>
      <c r="D27" t="str">
        <v>Kg</v>
      </c>
    </row>
    <row r="28">
      <c r="A28" t="str">
        <v/>
      </c>
      <c r="B28" t="str">
        <v>'-Open Windrow</v>
      </c>
      <c r="C28">
        <v>0</v>
      </c>
      <c r="D28" t="str">
        <v>Kg</v>
      </c>
    </row>
    <row r="29">
      <c r="A29" t="str">
        <v>*</v>
      </c>
      <c r="B29" t="str">
        <v>Raised bed</v>
      </c>
      <c r="C29">
        <v>0</v>
      </c>
      <c r="D29" t="str">
        <v>Kg</v>
      </c>
    </row>
    <row r="30">
      <c r="A30" t="str">
        <v/>
      </c>
    </row>
    <row r="31">
      <c r="A31" t="str">
        <v/>
      </c>
      <c r="B31" t="str">
        <v>TOTAL PENGELOLAAN</v>
      </c>
      <c r="C31">
        <f>C21+C22+C23+C24+C25+C26+C29</f>
      </c>
      <c r="D31" t="str">
        <v>Kg</v>
      </c>
    </row>
  </sheetData>
  <ignoredErrors>
    <ignoredError numberStoredAsText="1" sqref="A1:D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41"/>
  <sheetViews>
    <sheetView workbookViewId="0"/>
  </sheetViews>
  <cols>
    <col min="1" max="1" width="35.83203125" customWidth="1"/>
    <col min="2" max="2" width="2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22.83203125" customWidth="1"/>
    <col min="25" max="25" width="15.83203125" customWidth="1"/>
  </cols>
  <sheetData>
    <row r="1">
      <c r="A1" t="str">
        <v>Kelurahan / Sub-Kategori</v>
      </c>
      <c r="B1" t="str">
        <v>Alur_Tujuan</v>
      </c>
      <c r="C1" t="str">
        <v>Tgl_01</v>
      </c>
      <c r="D1" t="str">
        <v>Tgl_02</v>
      </c>
      <c r="E1" t="str">
        <v>Tgl_03</v>
      </c>
      <c r="F1" t="str">
        <v>Tgl_04</v>
      </c>
      <c r="G1" t="str">
        <v>Tgl_05</v>
      </c>
      <c r="H1" t="str">
        <v>Tgl_06</v>
      </c>
      <c r="I1" t="str">
        <v>Tgl_07</v>
      </c>
      <c r="J1" t="str">
        <v>Tgl_08</v>
      </c>
      <c r="K1" t="str">
        <v>Tgl_09</v>
      </c>
      <c r="L1" t="str">
        <v>Tgl_10</v>
      </c>
      <c r="M1" t="str">
        <v>Tgl_11</v>
      </c>
      <c r="N1" t="str">
        <v>Tgl_12</v>
      </c>
      <c r="O1" t="str">
        <v>Tgl_13</v>
      </c>
      <c r="P1" t="str">
        <v>Tgl_14</v>
      </c>
      <c r="Q1" t="str">
        <v>Tgl_15</v>
      </c>
      <c r="R1" t="str">
        <v>Tgl_16</v>
      </c>
      <c r="S1" t="str">
        <v>Tgl_17</v>
      </c>
      <c r="T1" t="str">
        <v>Tgl_18</v>
      </c>
      <c r="U1" t="str">
        <v>Tgl_19</v>
      </c>
      <c r="V1" t="str">
        <v>Tgl_20</v>
      </c>
      <c r="W1" t="str">
        <v>Tgl_21</v>
      </c>
      <c r="X1" t="str">
        <v>TOTAL_AKUMULASI_KG</v>
      </c>
      <c r="Y1" t="str">
        <v>PORSI_PERSEN</v>
      </c>
    </row>
    <row r="2">
      <c r="A2" t="str">
        <v>KELURAHAN BARU</v>
      </c>
      <c r="B2" t="str">
        <v>JUMLAH TOTAL</v>
      </c>
      <c r="C2">
        <v>992</v>
      </c>
      <c r="D2">
        <v>954</v>
      </c>
      <c r="E2">
        <v>1022</v>
      </c>
      <c r="F2">
        <v>1090</v>
      </c>
      <c r="G2">
        <v>924</v>
      </c>
      <c r="H2">
        <v>884</v>
      </c>
      <c r="I2">
        <v>1011</v>
      </c>
      <c r="J2">
        <v>973</v>
      </c>
      <c r="K2">
        <v>943</v>
      </c>
      <c r="L2">
        <v>1031</v>
      </c>
      <c r="M2">
        <v>1050</v>
      </c>
      <c r="N2">
        <v>905</v>
      </c>
      <c r="O2">
        <v>934</v>
      </c>
      <c r="P2">
        <v>1001</v>
      </c>
      <c r="Q2">
        <v>963</v>
      </c>
      <c r="R2">
        <v>982</v>
      </c>
      <c r="S2">
        <v>1041</v>
      </c>
      <c r="T2">
        <v>1069</v>
      </c>
      <c r="U2">
        <v>914</v>
      </c>
      <c r="V2">
        <v>1224</v>
      </c>
      <c r="W2">
        <v>1042</v>
      </c>
      <c r="X2">
        <v>20949</v>
      </c>
      <c r="Y2" t="str">
        <v>50.6%</v>
      </c>
    </row>
    <row r="3">
      <c r="A3" t="str">
        <v xml:space="preserve">  - Makanan (Organik Basah)</v>
      </c>
      <c r="B3" t="str">
        <v>Campur (TPA+TPS3R)</v>
      </c>
      <c r="C3">
        <v>946</v>
      </c>
      <c r="D3">
        <v>909</v>
      </c>
      <c r="E3">
        <v>974</v>
      </c>
      <c r="F3">
        <v>1039</v>
      </c>
      <c r="G3">
        <v>881</v>
      </c>
      <c r="H3">
        <v>843</v>
      </c>
      <c r="I3">
        <v>964</v>
      </c>
      <c r="J3">
        <v>927</v>
      </c>
      <c r="K3">
        <v>899</v>
      </c>
      <c r="L3">
        <v>983</v>
      </c>
      <c r="M3">
        <v>1001</v>
      </c>
      <c r="N3">
        <v>863</v>
      </c>
      <c r="O3">
        <v>890</v>
      </c>
      <c r="P3">
        <v>954</v>
      </c>
      <c r="Q3">
        <v>918</v>
      </c>
      <c r="R3">
        <v>936</v>
      </c>
      <c r="S3">
        <v>992</v>
      </c>
      <c r="T3">
        <v>1019</v>
      </c>
      <c r="U3">
        <v>871</v>
      </c>
      <c r="V3">
        <v>1170</v>
      </c>
      <c r="W3">
        <v>992</v>
      </c>
      <c r="X3">
        <v>19971</v>
      </c>
      <c r="Y3" t="str">
        <v/>
      </c>
    </row>
    <row r="4">
      <c r="A4" t="str">
        <v xml:space="preserve">  - Daun (Sapuan Jalan &amp; Taman)</v>
      </c>
      <c r="B4" t="str">
        <v>Campur (TPA+TPS3R)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tr">
        <v/>
      </c>
    </row>
    <row r="5">
      <c r="A5" t="str">
        <v xml:space="preserve">  ↳ Pakan: Musliadi</v>
      </c>
      <c r="B5" t="str">
        <v>Pakan Ternak</v>
      </c>
      <c r="C5">
        <v>46</v>
      </c>
      <c r="D5">
        <v>45</v>
      </c>
      <c r="E5">
        <v>48</v>
      </c>
      <c r="F5">
        <v>51</v>
      </c>
      <c r="G5">
        <v>43</v>
      </c>
      <c r="H5">
        <v>41</v>
      </c>
      <c r="I5">
        <v>47</v>
      </c>
      <c r="J5">
        <v>46</v>
      </c>
      <c r="K5">
        <v>44</v>
      </c>
      <c r="L5">
        <v>48</v>
      </c>
      <c r="M5">
        <v>49</v>
      </c>
      <c r="N5">
        <v>42</v>
      </c>
      <c r="O5">
        <v>44</v>
      </c>
      <c r="P5">
        <v>47</v>
      </c>
      <c r="Q5">
        <v>45</v>
      </c>
      <c r="R5">
        <v>46</v>
      </c>
      <c r="S5">
        <v>49</v>
      </c>
      <c r="T5">
        <v>50</v>
      </c>
      <c r="U5">
        <v>43</v>
      </c>
      <c r="V5">
        <v>54</v>
      </c>
      <c r="W5">
        <v>50</v>
      </c>
      <c r="X5">
        <v>978</v>
      </c>
      <c r="Y5" t="str">
        <v/>
      </c>
    </row>
    <row r="6">
      <c r="A6" t="str">
        <v>KELURAHAN BULOGADING</v>
      </c>
      <c r="B6" t="str">
        <v>JUMLAH TOTAL</v>
      </c>
      <c r="C6">
        <v>249</v>
      </c>
      <c r="D6">
        <v>239</v>
      </c>
      <c r="E6">
        <v>255</v>
      </c>
      <c r="F6">
        <v>272</v>
      </c>
      <c r="G6">
        <v>231</v>
      </c>
      <c r="H6">
        <v>221</v>
      </c>
      <c r="I6">
        <v>253</v>
      </c>
      <c r="J6">
        <v>244</v>
      </c>
      <c r="K6">
        <v>236</v>
      </c>
      <c r="L6">
        <v>258</v>
      </c>
      <c r="M6">
        <v>261</v>
      </c>
      <c r="N6">
        <v>226</v>
      </c>
      <c r="O6">
        <v>233</v>
      </c>
      <c r="P6">
        <v>251</v>
      </c>
      <c r="Q6">
        <v>240</v>
      </c>
      <c r="R6">
        <v>246</v>
      </c>
      <c r="S6">
        <v>260</v>
      </c>
      <c r="T6">
        <v>267</v>
      </c>
      <c r="U6">
        <v>227</v>
      </c>
      <c r="V6">
        <v>266</v>
      </c>
      <c r="W6">
        <v>265</v>
      </c>
      <c r="X6">
        <v>5200</v>
      </c>
      <c r="Y6" t="str">
        <v>12.6%</v>
      </c>
    </row>
    <row r="7">
      <c r="A7" t="str">
        <v xml:space="preserve">  - Makanan (Organik Basah)</v>
      </c>
      <c r="B7" t="str">
        <v>Campur (TPA+TPS3R)</v>
      </c>
      <c r="C7">
        <v>68</v>
      </c>
      <c r="D7">
        <v>65</v>
      </c>
      <c r="E7">
        <v>70</v>
      </c>
      <c r="F7">
        <v>74</v>
      </c>
      <c r="G7">
        <v>63</v>
      </c>
      <c r="H7">
        <v>60</v>
      </c>
      <c r="I7">
        <v>68</v>
      </c>
      <c r="J7">
        <v>66</v>
      </c>
      <c r="K7">
        <v>65</v>
      </c>
      <c r="L7">
        <v>70</v>
      </c>
      <c r="M7">
        <v>71</v>
      </c>
      <c r="N7">
        <v>62</v>
      </c>
      <c r="O7">
        <v>63</v>
      </c>
      <c r="P7">
        <v>68</v>
      </c>
      <c r="Q7">
        <v>65</v>
      </c>
      <c r="R7">
        <v>67</v>
      </c>
      <c r="S7">
        <v>71</v>
      </c>
      <c r="T7">
        <v>73</v>
      </c>
      <c r="U7">
        <v>62</v>
      </c>
      <c r="V7">
        <v>135</v>
      </c>
      <c r="W7">
        <v>73</v>
      </c>
      <c r="X7">
        <v>1479</v>
      </c>
      <c r="Y7" t="str">
        <v/>
      </c>
    </row>
    <row r="8">
      <c r="A8" t="str">
        <v xml:space="preserve">  - Daun (Sapuan Jalan &amp; Taman)</v>
      </c>
      <c r="B8" t="str">
        <v>Campur (TPA+TPS3R)</v>
      </c>
      <c r="C8">
        <v>66</v>
      </c>
      <c r="D8">
        <v>64</v>
      </c>
      <c r="E8">
        <v>68</v>
      </c>
      <c r="F8">
        <v>73</v>
      </c>
      <c r="G8">
        <v>62</v>
      </c>
      <c r="H8">
        <v>59</v>
      </c>
      <c r="I8">
        <v>68</v>
      </c>
      <c r="J8">
        <v>65</v>
      </c>
      <c r="K8">
        <v>63</v>
      </c>
      <c r="L8">
        <v>69</v>
      </c>
      <c r="M8">
        <v>70</v>
      </c>
      <c r="N8">
        <v>60</v>
      </c>
      <c r="O8">
        <v>63</v>
      </c>
      <c r="P8">
        <v>67</v>
      </c>
      <c r="Q8">
        <v>64</v>
      </c>
      <c r="R8">
        <v>65</v>
      </c>
      <c r="S8">
        <v>69</v>
      </c>
      <c r="T8">
        <v>72</v>
      </c>
      <c r="U8">
        <v>61</v>
      </c>
      <c r="V8">
        <v>42</v>
      </c>
      <c r="W8">
        <v>71</v>
      </c>
      <c r="X8">
        <v>1361</v>
      </c>
      <c r="Y8" t="str">
        <v/>
      </c>
    </row>
    <row r="9">
      <c r="A9" t="str">
        <v xml:space="preserve">  ↳ Pakan: Ansu</v>
      </c>
      <c r="B9" t="str">
        <v>Pakan Ternak</v>
      </c>
      <c r="C9">
        <v>47</v>
      </c>
      <c r="D9">
        <v>45</v>
      </c>
      <c r="E9">
        <v>48</v>
      </c>
      <c r="F9">
        <v>51</v>
      </c>
      <c r="G9">
        <v>44</v>
      </c>
      <c r="H9">
        <v>42</v>
      </c>
      <c r="I9">
        <v>48</v>
      </c>
      <c r="J9">
        <v>46</v>
      </c>
      <c r="K9">
        <v>44</v>
      </c>
      <c r="L9">
        <v>49</v>
      </c>
      <c r="M9">
        <v>49</v>
      </c>
      <c r="N9">
        <v>43</v>
      </c>
      <c r="O9">
        <v>44</v>
      </c>
      <c r="P9">
        <v>47</v>
      </c>
      <c r="Q9">
        <v>45</v>
      </c>
      <c r="R9">
        <v>46</v>
      </c>
      <c r="S9">
        <v>49</v>
      </c>
      <c r="T9">
        <v>50</v>
      </c>
      <c r="U9">
        <v>43</v>
      </c>
      <c r="V9">
        <v>51</v>
      </c>
      <c r="W9">
        <v>49</v>
      </c>
      <c r="X9">
        <v>980</v>
      </c>
      <c r="Y9" t="str">
        <v/>
      </c>
    </row>
    <row r="10">
      <c r="A10" t="str">
        <v xml:space="preserve">  ↳ Pakan: Awal Wahid</v>
      </c>
      <c r="B10" t="str">
        <v>Pakan Ternak</v>
      </c>
      <c r="C10">
        <v>36</v>
      </c>
      <c r="D10">
        <v>35</v>
      </c>
      <c r="E10">
        <v>37</v>
      </c>
      <c r="F10">
        <v>40</v>
      </c>
      <c r="G10">
        <v>34</v>
      </c>
      <c r="H10">
        <v>32</v>
      </c>
      <c r="I10">
        <v>37</v>
      </c>
      <c r="J10">
        <v>36</v>
      </c>
      <c r="K10">
        <v>35</v>
      </c>
      <c r="L10">
        <v>38</v>
      </c>
      <c r="M10">
        <v>38</v>
      </c>
      <c r="N10">
        <v>33</v>
      </c>
      <c r="O10">
        <v>34</v>
      </c>
      <c r="P10">
        <v>37</v>
      </c>
      <c r="Q10">
        <v>35</v>
      </c>
      <c r="R10">
        <v>36</v>
      </c>
      <c r="S10">
        <v>38</v>
      </c>
      <c r="T10">
        <v>39</v>
      </c>
      <c r="U10">
        <v>33</v>
      </c>
      <c r="V10">
        <v>38</v>
      </c>
      <c r="W10">
        <v>39</v>
      </c>
      <c r="X10">
        <v>760</v>
      </c>
      <c r="Y10" t="str">
        <v/>
      </c>
    </row>
    <row r="11">
      <c r="A11" t="str">
        <v>KELURAHAN LAE-LAE</v>
      </c>
      <c r="B11" t="str">
        <v>JUMLAH TOTAL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tr">
        <v>0.0%</v>
      </c>
    </row>
    <row r="12">
      <c r="A12" t="str">
        <v xml:space="preserve">  - Makanan (Organik Basah)</v>
      </c>
      <c r="B12" t="str">
        <v>Campur (TPA+TPS3R)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tr">
        <v/>
      </c>
    </row>
    <row r="13">
      <c r="A13" t="str">
        <v xml:space="preserve">  - Daun (Sapuan Jalan &amp; Taman)</v>
      </c>
      <c r="B13" t="str">
        <v>Campur (TPA+TPS3R)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tr">
        <v/>
      </c>
    </row>
    <row r="14">
      <c r="A14" t="str">
        <v>KELURAHAN LAJANGIRU</v>
      </c>
      <c r="B14" t="str">
        <v>JUMLAH TOTAL</v>
      </c>
      <c r="C14">
        <v>24</v>
      </c>
      <c r="D14">
        <v>23</v>
      </c>
      <c r="E14">
        <v>27</v>
      </c>
      <c r="F14">
        <v>27</v>
      </c>
      <c r="G14">
        <v>23</v>
      </c>
      <c r="H14">
        <v>22</v>
      </c>
      <c r="I14">
        <v>26</v>
      </c>
      <c r="J14">
        <v>23</v>
      </c>
      <c r="K14">
        <v>23</v>
      </c>
      <c r="L14">
        <v>27</v>
      </c>
      <c r="M14">
        <v>27</v>
      </c>
      <c r="N14">
        <v>22</v>
      </c>
      <c r="O14">
        <v>23</v>
      </c>
      <c r="P14">
        <v>24</v>
      </c>
      <c r="Q14">
        <v>23</v>
      </c>
      <c r="R14">
        <v>23</v>
      </c>
      <c r="S14">
        <v>27</v>
      </c>
      <c r="T14">
        <v>27</v>
      </c>
      <c r="U14">
        <v>23</v>
      </c>
      <c r="V14">
        <v>16</v>
      </c>
      <c r="W14">
        <v>28</v>
      </c>
      <c r="X14">
        <v>508</v>
      </c>
      <c r="Y14" t="str">
        <v>1.2%</v>
      </c>
    </row>
    <row r="15">
      <c r="A15" t="str">
        <v xml:space="preserve">  - Makanan (Organik Basah)</v>
      </c>
      <c r="B15" t="str">
        <v>Campur (TPA+TPS3R)</v>
      </c>
      <c r="C15">
        <v>4</v>
      </c>
      <c r="D15">
        <v>4</v>
      </c>
      <c r="E15">
        <v>5</v>
      </c>
      <c r="F15">
        <v>5</v>
      </c>
      <c r="G15">
        <v>4</v>
      </c>
      <c r="H15">
        <v>4</v>
      </c>
      <c r="I15">
        <v>5</v>
      </c>
      <c r="J15">
        <v>4</v>
      </c>
      <c r="K15">
        <v>4</v>
      </c>
      <c r="L15">
        <v>5</v>
      </c>
      <c r="M15">
        <v>5</v>
      </c>
      <c r="N15">
        <v>4</v>
      </c>
      <c r="O15">
        <v>4</v>
      </c>
      <c r="P15">
        <v>4</v>
      </c>
      <c r="Q15">
        <v>4</v>
      </c>
      <c r="R15">
        <v>4</v>
      </c>
      <c r="S15">
        <v>5</v>
      </c>
      <c r="T15">
        <v>5</v>
      </c>
      <c r="U15">
        <v>4</v>
      </c>
      <c r="V15">
        <v>6</v>
      </c>
      <c r="W15">
        <v>5</v>
      </c>
      <c r="X15">
        <v>94</v>
      </c>
      <c r="Y15" t="str">
        <v/>
      </c>
    </row>
    <row r="16">
      <c r="A16" t="str">
        <v xml:space="preserve">  - Daun (Sapuan Jalan &amp; Taman)</v>
      </c>
      <c r="B16" t="str">
        <v>Campur (TPA+TPS3R)</v>
      </c>
      <c r="C16">
        <v>10</v>
      </c>
      <c r="D16">
        <v>10</v>
      </c>
      <c r="E16">
        <v>11</v>
      </c>
      <c r="F16">
        <v>11</v>
      </c>
      <c r="G16">
        <v>10</v>
      </c>
      <c r="H16">
        <v>9</v>
      </c>
      <c r="I16">
        <v>11</v>
      </c>
      <c r="J16">
        <v>10</v>
      </c>
      <c r="K16">
        <v>10</v>
      </c>
      <c r="L16">
        <v>11</v>
      </c>
      <c r="M16">
        <v>11</v>
      </c>
      <c r="N16">
        <v>9</v>
      </c>
      <c r="O16">
        <v>10</v>
      </c>
      <c r="P16">
        <v>10</v>
      </c>
      <c r="Q16">
        <v>10</v>
      </c>
      <c r="R16">
        <v>10</v>
      </c>
      <c r="S16">
        <v>11</v>
      </c>
      <c r="T16">
        <v>11</v>
      </c>
      <c r="U16">
        <v>10</v>
      </c>
      <c r="V16">
        <v>6</v>
      </c>
      <c r="W16">
        <v>12</v>
      </c>
      <c r="X16">
        <v>213</v>
      </c>
      <c r="Y16" t="str">
        <v/>
      </c>
    </row>
    <row r="17">
      <c r="A17" t="str">
        <v>KELURAHAN LOSARI</v>
      </c>
      <c r="B17" t="str">
        <v>JUMLAH TOTAL</v>
      </c>
      <c r="C17">
        <v>101</v>
      </c>
      <c r="D17">
        <v>97</v>
      </c>
      <c r="E17">
        <v>104</v>
      </c>
      <c r="F17">
        <v>111</v>
      </c>
      <c r="G17">
        <v>94</v>
      </c>
      <c r="H17">
        <v>89</v>
      </c>
      <c r="I17">
        <v>103</v>
      </c>
      <c r="J17">
        <v>100</v>
      </c>
      <c r="K17">
        <v>97</v>
      </c>
      <c r="L17">
        <v>105</v>
      </c>
      <c r="M17">
        <v>107</v>
      </c>
      <c r="N17">
        <v>92</v>
      </c>
      <c r="O17">
        <v>95</v>
      </c>
      <c r="P17">
        <v>103</v>
      </c>
      <c r="Q17">
        <v>99</v>
      </c>
      <c r="R17">
        <v>100</v>
      </c>
      <c r="S17">
        <v>107</v>
      </c>
      <c r="T17">
        <v>109</v>
      </c>
      <c r="U17">
        <v>92</v>
      </c>
      <c r="V17">
        <v>84</v>
      </c>
      <c r="W17">
        <v>111</v>
      </c>
      <c r="X17">
        <v>2100</v>
      </c>
      <c r="Y17" t="str">
        <v>5.1%</v>
      </c>
    </row>
    <row r="18">
      <c r="A18" t="str">
        <v xml:space="preserve">  - Makanan (Organik Basah)</v>
      </c>
      <c r="B18" t="str">
        <v>Campur (TPA+TPS3R)</v>
      </c>
      <c r="C18">
        <v>3</v>
      </c>
      <c r="D18">
        <v>3</v>
      </c>
      <c r="E18">
        <v>3</v>
      </c>
      <c r="F18">
        <v>3</v>
      </c>
      <c r="G18">
        <v>2</v>
      </c>
      <c r="H18">
        <v>2</v>
      </c>
      <c r="I18">
        <v>3</v>
      </c>
      <c r="J18">
        <v>3</v>
      </c>
      <c r="K18">
        <v>3</v>
      </c>
      <c r="L18">
        <v>3</v>
      </c>
      <c r="M18">
        <v>3</v>
      </c>
      <c r="N18">
        <v>2</v>
      </c>
      <c r="O18">
        <v>2</v>
      </c>
      <c r="P18">
        <v>3</v>
      </c>
      <c r="Q18">
        <v>3</v>
      </c>
      <c r="R18">
        <v>3</v>
      </c>
      <c r="S18">
        <v>3</v>
      </c>
      <c r="T18">
        <v>3</v>
      </c>
      <c r="U18">
        <v>2</v>
      </c>
      <c r="V18">
        <v>0</v>
      </c>
      <c r="W18">
        <v>1</v>
      </c>
      <c r="X18">
        <v>53</v>
      </c>
      <c r="Y18" t="str">
        <v/>
      </c>
    </row>
    <row r="19">
      <c r="A19" t="str">
        <v xml:space="preserve">  - Daun (Sapuan Jalan &amp; Taman)</v>
      </c>
      <c r="B19" t="str">
        <v>Campur (TPA+TPS3R)</v>
      </c>
      <c r="C19">
        <v>72</v>
      </c>
      <c r="D19">
        <v>69</v>
      </c>
      <c r="E19">
        <v>74</v>
      </c>
      <c r="F19">
        <v>79</v>
      </c>
      <c r="G19">
        <v>67</v>
      </c>
      <c r="H19">
        <v>64</v>
      </c>
      <c r="I19">
        <v>73</v>
      </c>
      <c r="J19">
        <v>71</v>
      </c>
      <c r="K19">
        <v>69</v>
      </c>
      <c r="L19">
        <v>75</v>
      </c>
      <c r="M19">
        <v>76</v>
      </c>
      <c r="N19">
        <v>66</v>
      </c>
      <c r="O19">
        <v>68</v>
      </c>
      <c r="P19">
        <v>73</v>
      </c>
      <c r="Q19">
        <v>70</v>
      </c>
      <c r="R19">
        <v>71</v>
      </c>
      <c r="S19">
        <v>76</v>
      </c>
      <c r="T19">
        <v>78</v>
      </c>
      <c r="U19">
        <v>66</v>
      </c>
      <c r="V19">
        <v>53</v>
      </c>
      <c r="W19">
        <v>76</v>
      </c>
      <c r="X19">
        <v>1486</v>
      </c>
      <c r="Y19" t="str">
        <v/>
      </c>
    </row>
    <row r="20">
      <c r="A20" t="str">
        <v xml:space="preserve">  ↳ Pakan: Hasrul</v>
      </c>
      <c r="B20" t="str">
        <v>Pakan Ternak</v>
      </c>
      <c r="C20">
        <v>26</v>
      </c>
      <c r="D20">
        <v>25</v>
      </c>
      <c r="E20">
        <v>27</v>
      </c>
      <c r="F20">
        <v>29</v>
      </c>
      <c r="G20">
        <v>25</v>
      </c>
      <c r="H20">
        <v>23</v>
      </c>
      <c r="I20">
        <v>27</v>
      </c>
      <c r="J20">
        <v>26</v>
      </c>
      <c r="K20">
        <v>25</v>
      </c>
      <c r="L20">
        <v>27</v>
      </c>
      <c r="M20">
        <v>28</v>
      </c>
      <c r="N20">
        <v>24</v>
      </c>
      <c r="O20">
        <v>25</v>
      </c>
      <c r="P20">
        <v>27</v>
      </c>
      <c r="Q20">
        <v>26</v>
      </c>
      <c r="R20">
        <v>26</v>
      </c>
      <c r="S20">
        <v>28</v>
      </c>
      <c r="T20">
        <v>28</v>
      </c>
      <c r="U20">
        <v>24</v>
      </c>
      <c r="V20">
        <v>31</v>
      </c>
      <c r="W20">
        <v>27</v>
      </c>
      <c r="X20">
        <v>554</v>
      </c>
      <c r="Y20" t="str">
        <v/>
      </c>
    </row>
    <row r="21">
      <c r="A21" t="str">
        <v>KELURAHAN MALOKU</v>
      </c>
      <c r="B21" t="str">
        <v>JUMLAH TOTAL</v>
      </c>
      <c r="C21">
        <v>161</v>
      </c>
      <c r="D21">
        <v>155</v>
      </c>
      <c r="E21">
        <v>165</v>
      </c>
      <c r="F21">
        <v>176</v>
      </c>
      <c r="G21">
        <v>149</v>
      </c>
      <c r="H21">
        <v>143</v>
      </c>
      <c r="I21">
        <v>165</v>
      </c>
      <c r="J21">
        <v>158</v>
      </c>
      <c r="K21">
        <v>153</v>
      </c>
      <c r="L21">
        <v>166</v>
      </c>
      <c r="M21">
        <v>169</v>
      </c>
      <c r="N21">
        <v>146</v>
      </c>
      <c r="O21">
        <v>152</v>
      </c>
      <c r="P21">
        <v>162</v>
      </c>
      <c r="Q21">
        <v>156</v>
      </c>
      <c r="R21">
        <v>158</v>
      </c>
      <c r="S21">
        <v>167</v>
      </c>
      <c r="T21">
        <v>174</v>
      </c>
      <c r="U21">
        <v>149</v>
      </c>
      <c r="V21">
        <v>187</v>
      </c>
      <c r="W21">
        <v>169</v>
      </c>
      <c r="X21">
        <v>3380</v>
      </c>
      <c r="Y21" t="str">
        <v>8.2%</v>
      </c>
    </row>
    <row r="22">
      <c r="A22" t="str">
        <v xml:space="preserve">  - Makanan (Organik Basah)</v>
      </c>
      <c r="B22" t="str">
        <v>Campur (TPA+TPS3R)</v>
      </c>
      <c r="C22">
        <v>36</v>
      </c>
      <c r="D22">
        <v>35</v>
      </c>
      <c r="E22">
        <v>38</v>
      </c>
      <c r="F22">
        <v>40</v>
      </c>
      <c r="G22">
        <v>34</v>
      </c>
      <c r="H22">
        <v>33</v>
      </c>
      <c r="I22">
        <v>38</v>
      </c>
      <c r="J22">
        <v>36</v>
      </c>
      <c r="K22">
        <v>35</v>
      </c>
      <c r="L22">
        <v>38</v>
      </c>
      <c r="M22">
        <v>38</v>
      </c>
      <c r="N22">
        <v>33</v>
      </c>
      <c r="O22">
        <v>34</v>
      </c>
      <c r="P22">
        <v>37</v>
      </c>
      <c r="Q22">
        <v>36</v>
      </c>
      <c r="R22">
        <v>36</v>
      </c>
      <c r="S22">
        <v>38</v>
      </c>
      <c r="T22">
        <v>40</v>
      </c>
      <c r="U22">
        <v>34</v>
      </c>
      <c r="V22">
        <v>73</v>
      </c>
      <c r="W22">
        <v>39</v>
      </c>
      <c r="X22">
        <v>801</v>
      </c>
      <c r="Y22" t="str">
        <v/>
      </c>
    </row>
    <row r="23">
      <c r="A23" t="str">
        <v xml:space="preserve">  - Daun (Sapuan Jalan &amp; Taman)</v>
      </c>
      <c r="B23" t="str">
        <v>Campur (TPA+TPS3R)</v>
      </c>
      <c r="C23">
        <v>17</v>
      </c>
      <c r="D23">
        <v>16</v>
      </c>
      <c r="E23">
        <v>17</v>
      </c>
      <c r="F23">
        <v>18</v>
      </c>
      <c r="G23">
        <v>15</v>
      </c>
      <c r="H23">
        <v>15</v>
      </c>
      <c r="I23">
        <v>17</v>
      </c>
      <c r="J23">
        <v>16</v>
      </c>
      <c r="K23">
        <v>16</v>
      </c>
      <c r="L23">
        <v>17</v>
      </c>
      <c r="M23">
        <v>18</v>
      </c>
      <c r="N23">
        <v>15</v>
      </c>
      <c r="O23">
        <v>16</v>
      </c>
      <c r="P23">
        <v>17</v>
      </c>
      <c r="Q23">
        <v>16</v>
      </c>
      <c r="R23">
        <v>16</v>
      </c>
      <c r="S23">
        <v>17</v>
      </c>
      <c r="T23">
        <v>18</v>
      </c>
      <c r="U23">
        <v>15</v>
      </c>
      <c r="V23">
        <v>0</v>
      </c>
      <c r="W23">
        <v>18</v>
      </c>
      <c r="X23">
        <v>330</v>
      </c>
      <c r="Y23" t="str">
        <v/>
      </c>
    </row>
    <row r="24">
      <c r="A24" t="str">
        <v xml:space="preserve">  ↳ Pakan: Erwin</v>
      </c>
      <c r="B24" t="str">
        <v>Pakan Ternak</v>
      </c>
      <c r="C24">
        <v>51</v>
      </c>
      <c r="D24">
        <v>49</v>
      </c>
      <c r="E24">
        <v>52</v>
      </c>
      <c r="F24">
        <v>56</v>
      </c>
      <c r="G24">
        <v>47</v>
      </c>
      <c r="H24">
        <v>45</v>
      </c>
      <c r="I24">
        <v>52</v>
      </c>
      <c r="J24">
        <v>50</v>
      </c>
      <c r="K24">
        <v>48</v>
      </c>
      <c r="L24">
        <v>53</v>
      </c>
      <c r="M24">
        <v>54</v>
      </c>
      <c r="N24">
        <v>46</v>
      </c>
      <c r="O24">
        <v>48</v>
      </c>
      <c r="P24">
        <v>51</v>
      </c>
      <c r="Q24">
        <v>49</v>
      </c>
      <c r="R24">
        <v>50</v>
      </c>
      <c r="S24">
        <v>53</v>
      </c>
      <c r="T24">
        <v>55</v>
      </c>
      <c r="U24">
        <v>47</v>
      </c>
      <c r="V24">
        <v>62</v>
      </c>
      <c r="W24">
        <v>54</v>
      </c>
      <c r="X24">
        <v>1072</v>
      </c>
      <c r="Y24" t="str">
        <v/>
      </c>
    </row>
    <row r="25">
      <c r="A25" t="str">
        <v xml:space="preserve">  ↳ Pakan: Samsir</v>
      </c>
      <c r="B25" t="str">
        <v>Pakan Ternak</v>
      </c>
      <c r="C25">
        <v>48</v>
      </c>
      <c r="D25">
        <v>46</v>
      </c>
      <c r="E25">
        <v>49</v>
      </c>
      <c r="F25">
        <v>52</v>
      </c>
      <c r="G25">
        <v>44</v>
      </c>
      <c r="H25">
        <v>42</v>
      </c>
      <c r="I25">
        <v>49</v>
      </c>
      <c r="J25">
        <v>47</v>
      </c>
      <c r="K25">
        <v>45</v>
      </c>
      <c r="L25">
        <v>49</v>
      </c>
      <c r="M25">
        <v>50</v>
      </c>
      <c r="N25">
        <v>43</v>
      </c>
      <c r="O25">
        <v>45</v>
      </c>
      <c r="P25">
        <v>48</v>
      </c>
      <c r="Q25">
        <v>46</v>
      </c>
      <c r="R25">
        <v>47</v>
      </c>
      <c r="S25">
        <v>50</v>
      </c>
      <c r="T25">
        <v>51</v>
      </c>
      <c r="U25">
        <v>44</v>
      </c>
      <c r="V25">
        <v>52</v>
      </c>
      <c r="W25">
        <v>51</v>
      </c>
      <c r="X25">
        <v>998</v>
      </c>
      <c r="Y25" t="str">
        <v/>
      </c>
    </row>
    <row r="26">
      <c r="A26" t="str">
        <v>KELURAHAN MANGKURA</v>
      </c>
      <c r="B26" t="str">
        <v>JUMLAH TOTAL</v>
      </c>
      <c r="C26">
        <v>236</v>
      </c>
      <c r="D26">
        <v>227</v>
      </c>
      <c r="E26">
        <v>243</v>
      </c>
      <c r="F26">
        <v>259</v>
      </c>
      <c r="G26">
        <v>221</v>
      </c>
      <c r="H26">
        <v>212</v>
      </c>
      <c r="I26">
        <v>242</v>
      </c>
      <c r="J26">
        <v>232</v>
      </c>
      <c r="K26">
        <v>225</v>
      </c>
      <c r="L26">
        <v>244</v>
      </c>
      <c r="M26">
        <v>250</v>
      </c>
      <c r="N26">
        <v>215</v>
      </c>
      <c r="O26">
        <v>221</v>
      </c>
      <c r="P26">
        <v>240</v>
      </c>
      <c r="Q26">
        <v>228</v>
      </c>
      <c r="R26">
        <v>233</v>
      </c>
      <c r="S26">
        <v>248</v>
      </c>
      <c r="T26">
        <v>255</v>
      </c>
      <c r="U26">
        <v>218</v>
      </c>
      <c r="V26">
        <v>268</v>
      </c>
      <c r="W26">
        <v>253</v>
      </c>
      <c r="X26">
        <v>4970</v>
      </c>
      <c r="Y26" t="str">
        <v>12.0%</v>
      </c>
    </row>
    <row r="27">
      <c r="A27" t="str">
        <v xml:space="preserve">  - Makanan (Organik Basah)</v>
      </c>
      <c r="B27" t="str">
        <v>Campur (TPA+TPS3R)</v>
      </c>
      <c r="C27">
        <v>75</v>
      </c>
      <c r="D27">
        <v>72</v>
      </c>
      <c r="E27">
        <v>77</v>
      </c>
      <c r="F27">
        <v>82</v>
      </c>
      <c r="G27">
        <v>70</v>
      </c>
      <c r="H27">
        <v>67</v>
      </c>
      <c r="I27">
        <v>77</v>
      </c>
      <c r="J27">
        <v>74</v>
      </c>
      <c r="K27">
        <v>72</v>
      </c>
      <c r="L27">
        <v>77</v>
      </c>
      <c r="M27">
        <v>79</v>
      </c>
      <c r="N27">
        <v>68</v>
      </c>
      <c r="O27">
        <v>70</v>
      </c>
      <c r="P27">
        <v>76</v>
      </c>
      <c r="Q27">
        <v>72</v>
      </c>
      <c r="R27">
        <v>74</v>
      </c>
      <c r="S27">
        <v>79</v>
      </c>
      <c r="T27">
        <v>81</v>
      </c>
      <c r="U27">
        <v>69</v>
      </c>
      <c r="V27">
        <v>139</v>
      </c>
      <c r="W27">
        <v>81</v>
      </c>
      <c r="X27">
        <v>1631</v>
      </c>
      <c r="Y27" t="str">
        <v/>
      </c>
    </row>
    <row r="28">
      <c r="A28" t="str">
        <v xml:space="preserve">  - Daun (Sapuan Jalan &amp; Taman)</v>
      </c>
      <c r="B28" t="str">
        <v>Campur (TPA+TPS3R)</v>
      </c>
      <c r="C28">
        <v>48</v>
      </c>
      <c r="D28">
        <v>47</v>
      </c>
      <c r="E28">
        <v>50</v>
      </c>
      <c r="F28">
        <v>53</v>
      </c>
      <c r="G28">
        <v>45</v>
      </c>
      <c r="H28">
        <v>43</v>
      </c>
      <c r="I28">
        <v>50</v>
      </c>
      <c r="J28">
        <v>48</v>
      </c>
      <c r="K28">
        <v>46</v>
      </c>
      <c r="L28">
        <v>50</v>
      </c>
      <c r="M28">
        <v>51</v>
      </c>
      <c r="N28">
        <v>45</v>
      </c>
      <c r="O28">
        <v>45</v>
      </c>
      <c r="P28">
        <v>49</v>
      </c>
      <c r="Q28">
        <v>47</v>
      </c>
      <c r="R28">
        <v>48</v>
      </c>
      <c r="S28">
        <v>51</v>
      </c>
      <c r="T28">
        <v>52</v>
      </c>
      <c r="U28">
        <v>45</v>
      </c>
      <c r="V28">
        <v>56</v>
      </c>
      <c r="W28">
        <v>52</v>
      </c>
      <c r="X28">
        <v>1021</v>
      </c>
      <c r="Y28" t="str">
        <v/>
      </c>
    </row>
    <row r="29">
      <c r="A29" t="str">
        <v xml:space="preserve">  ↳ Pakan: Malalengga</v>
      </c>
      <c r="B29" t="str">
        <v>Pakan Ternak</v>
      </c>
      <c r="C29">
        <v>27</v>
      </c>
      <c r="D29">
        <v>26</v>
      </c>
      <c r="E29">
        <v>28</v>
      </c>
      <c r="F29">
        <v>30</v>
      </c>
      <c r="G29">
        <v>26</v>
      </c>
      <c r="H29">
        <v>25</v>
      </c>
      <c r="I29">
        <v>28</v>
      </c>
      <c r="J29">
        <v>27</v>
      </c>
      <c r="K29">
        <v>26</v>
      </c>
      <c r="L29">
        <v>29</v>
      </c>
      <c r="M29">
        <v>29</v>
      </c>
      <c r="N29">
        <v>25</v>
      </c>
      <c r="O29">
        <v>26</v>
      </c>
      <c r="P29">
        <v>28</v>
      </c>
      <c r="Q29">
        <v>27</v>
      </c>
      <c r="R29">
        <v>27</v>
      </c>
      <c r="S29">
        <v>29</v>
      </c>
      <c r="T29">
        <v>30</v>
      </c>
      <c r="U29">
        <v>25</v>
      </c>
      <c r="V29">
        <v>31</v>
      </c>
      <c r="W29">
        <v>28</v>
      </c>
      <c r="X29">
        <v>577</v>
      </c>
      <c r="Y29" t="str">
        <v/>
      </c>
    </row>
    <row r="30">
      <c r="A30" t="str">
        <v xml:space="preserve">  ↳ Pakan: Abd. Rahman</v>
      </c>
      <c r="B30" t="str">
        <v>Pakan Ternak</v>
      </c>
      <c r="C30">
        <v>36</v>
      </c>
      <c r="D30">
        <v>35</v>
      </c>
      <c r="E30">
        <v>38</v>
      </c>
      <c r="F30">
        <v>40</v>
      </c>
      <c r="G30">
        <v>34</v>
      </c>
      <c r="H30">
        <v>33</v>
      </c>
      <c r="I30">
        <v>37</v>
      </c>
      <c r="J30">
        <v>36</v>
      </c>
      <c r="K30">
        <v>35</v>
      </c>
      <c r="L30">
        <v>38</v>
      </c>
      <c r="M30">
        <v>39</v>
      </c>
      <c r="N30">
        <v>33</v>
      </c>
      <c r="O30">
        <v>34</v>
      </c>
      <c r="P30">
        <v>37</v>
      </c>
      <c r="Q30">
        <v>35</v>
      </c>
      <c r="R30">
        <v>36</v>
      </c>
      <c r="S30">
        <v>38</v>
      </c>
      <c r="T30">
        <v>39</v>
      </c>
      <c r="U30">
        <v>34</v>
      </c>
      <c r="V30">
        <v>42</v>
      </c>
      <c r="W30">
        <v>38</v>
      </c>
      <c r="X30">
        <v>767</v>
      </c>
      <c r="Y30" t="str">
        <v/>
      </c>
    </row>
    <row r="31">
      <c r="A31" t="str">
        <v>KELURAHAN PISANG SELATAN</v>
      </c>
      <c r="B31" t="str">
        <v>JUMLAH TOTAL</v>
      </c>
      <c r="C31">
        <v>18</v>
      </c>
      <c r="D31">
        <v>17</v>
      </c>
      <c r="E31">
        <v>18</v>
      </c>
      <c r="F31">
        <v>21</v>
      </c>
      <c r="G31">
        <v>17</v>
      </c>
      <c r="H31">
        <v>16</v>
      </c>
      <c r="I31">
        <v>18</v>
      </c>
      <c r="J31">
        <v>18</v>
      </c>
      <c r="K31">
        <v>17</v>
      </c>
      <c r="L31">
        <v>18</v>
      </c>
      <c r="M31">
        <v>21</v>
      </c>
      <c r="N31">
        <v>16</v>
      </c>
      <c r="O31">
        <v>17</v>
      </c>
      <c r="P31">
        <v>18</v>
      </c>
      <c r="Q31">
        <v>17</v>
      </c>
      <c r="R31">
        <v>18</v>
      </c>
      <c r="S31">
        <v>21</v>
      </c>
      <c r="T31">
        <v>21</v>
      </c>
      <c r="U31">
        <v>17</v>
      </c>
      <c r="V31">
        <v>22</v>
      </c>
      <c r="W31">
        <v>24</v>
      </c>
      <c r="X31">
        <v>390</v>
      </c>
      <c r="Y31" t="str">
        <v>0.9%</v>
      </c>
    </row>
    <row r="32">
      <c r="A32" t="str">
        <v xml:space="preserve">  - Makanan (Organik Basah)</v>
      </c>
      <c r="B32" t="str">
        <v>Campur (TPA+TPS3R)</v>
      </c>
      <c r="C32">
        <v>8</v>
      </c>
      <c r="D32">
        <v>8</v>
      </c>
      <c r="E32">
        <v>8</v>
      </c>
      <c r="F32">
        <v>10</v>
      </c>
      <c r="G32">
        <v>8</v>
      </c>
      <c r="H32">
        <v>7</v>
      </c>
      <c r="I32">
        <v>8</v>
      </c>
      <c r="J32">
        <v>8</v>
      </c>
      <c r="K32">
        <v>8</v>
      </c>
      <c r="L32">
        <v>8</v>
      </c>
      <c r="M32">
        <v>10</v>
      </c>
      <c r="N32">
        <v>7</v>
      </c>
      <c r="O32">
        <v>8</v>
      </c>
      <c r="P32">
        <v>8</v>
      </c>
      <c r="Q32">
        <v>8</v>
      </c>
      <c r="R32">
        <v>8</v>
      </c>
      <c r="S32">
        <v>10</v>
      </c>
      <c r="T32">
        <v>10</v>
      </c>
      <c r="U32">
        <v>8</v>
      </c>
      <c r="V32">
        <v>15</v>
      </c>
      <c r="W32">
        <v>15</v>
      </c>
      <c r="X32">
        <v>188</v>
      </c>
      <c r="Y32" t="str">
        <v/>
      </c>
    </row>
    <row r="33">
      <c r="A33" t="str">
        <v xml:space="preserve">  - Daun (Sapuan Jalan &amp; Taman)</v>
      </c>
      <c r="B33" t="str">
        <v>Campur (TPA+TPS3R)</v>
      </c>
      <c r="C33">
        <v>5</v>
      </c>
      <c r="D33">
        <v>4</v>
      </c>
      <c r="E33">
        <v>5</v>
      </c>
      <c r="F33">
        <v>5</v>
      </c>
      <c r="G33">
        <v>4</v>
      </c>
      <c r="H33">
        <v>4</v>
      </c>
      <c r="I33">
        <v>5</v>
      </c>
      <c r="J33">
        <v>5</v>
      </c>
      <c r="K33">
        <v>4</v>
      </c>
      <c r="L33">
        <v>5</v>
      </c>
      <c r="M33">
        <v>5</v>
      </c>
      <c r="N33">
        <v>4</v>
      </c>
      <c r="O33">
        <v>4</v>
      </c>
      <c r="P33">
        <v>5</v>
      </c>
      <c r="Q33">
        <v>4</v>
      </c>
      <c r="R33">
        <v>5</v>
      </c>
      <c r="S33">
        <v>5</v>
      </c>
      <c r="T33">
        <v>5</v>
      </c>
      <c r="U33">
        <v>4</v>
      </c>
      <c r="V33">
        <v>7</v>
      </c>
      <c r="W33">
        <v>7</v>
      </c>
      <c r="X33">
        <v>101</v>
      </c>
      <c r="Y33" t="str">
        <v/>
      </c>
    </row>
    <row r="34">
      <c r="A34" t="str">
        <v>KELURAHAN PISANG UTARA</v>
      </c>
      <c r="B34" t="str">
        <v>JUMLAH TOTAL</v>
      </c>
      <c r="C34">
        <v>19</v>
      </c>
      <c r="D34">
        <v>19</v>
      </c>
      <c r="E34">
        <v>20</v>
      </c>
      <c r="F34">
        <v>21</v>
      </c>
      <c r="G34">
        <v>17</v>
      </c>
      <c r="H34">
        <v>17</v>
      </c>
      <c r="I34">
        <v>20</v>
      </c>
      <c r="J34">
        <v>19</v>
      </c>
      <c r="K34">
        <v>18</v>
      </c>
      <c r="L34">
        <v>20</v>
      </c>
      <c r="M34">
        <v>20</v>
      </c>
      <c r="N34">
        <v>17</v>
      </c>
      <c r="O34">
        <v>17</v>
      </c>
      <c r="P34">
        <v>19</v>
      </c>
      <c r="Q34">
        <v>19</v>
      </c>
      <c r="R34">
        <v>19</v>
      </c>
      <c r="S34">
        <v>20</v>
      </c>
      <c r="T34">
        <v>21</v>
      </c>
      <c r="U34">
        <v>17</v>
      </c>
      <c r="V34">
        <v>20</v>
      </c>
      <c r="W34">
        <v>17</v>
      </c>
      <c r="X34">
        <v>396</v>
      </c>
      <c r="Y34" t="str">
        <v>1.0%</v>
      </c>
    </row>
    <row r="35">
      <c r="A35" t="str">
        <v xml:space="preserve">  - Makanan (Organik Basah)</v>
      </c>
      <c r="B35" t="str">
        <v>Campur (TPA+TPS3R)</v>
      </c>
      <c r="C35">
        <v>19</v>
      </c>
      <c r="D35">
        <v>19</v>
      </c>
      <c r="E35">
        <v>20</v>
      </c>
      <c r="F35">
        <v>21</v>
      </c>
      <c r="G35">
        <v>17</v>
      </c>
      <c r="H35">
        <v>17</v>
      </c>
      <c r="I35">
        <v>20</v>
      </c>
      <c r="J35">
        <v>19</v>
      </c>
      <c r="K35">
        <v>18</v>
      </c>
      <c r="L35">
        <v>20</v>
      </c>
      <c r="M35">
        <v>20</v>
      </c>
      <c r="N35">
        <v>17</v>
      </c>
      <c r="O35">
        <v>17</v>
      </c>
      <c r="P35">
        <v>19</v>
      </c>
      <c r="Q35">
        <v>19</v>
      </c>
      <c r="R35">
        <v>19</v>
      </c>
      <c r="S35">
        <v>20</v>
      </c>
      <c r="T35">
        <v>21</v>
      </c>
      <c r="U35">
        <v>17</v>
      </c>
      <c r="V35">
        <v>20</v>
      </c>
      <c r="W35">
        <v>17</v>
      </c>
      <c r="X35">
        <v>396</v>
      </c>
      <c r="Y35" t="str">
        <v/>
      </c>
    </row>
    <row r="36">
      <c r="A36" t="str">
        <v xml:space="preserve">  - Daun (Sapuan Jalan &amp; Taman)</v>
      </c>
      <c r="B36" t="str">
        <v>Campur (TPA+TPS3R)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tr">
        <v/>
      </c>
    </row>
    <row r="37">
      <c r="A37" t="str">
        <v>KELURAHAN SAWERIGADING</v>
      </c>
      <c r="B37" t="str">
        <v>JUMLAH TOTAL</v>
      </c>
      <c r="C37">
        <v>166</v>
      </c>
      <c r="D37">
        <v>160</v>
      </c>
      <c r="E37">
        <v>172</v>
      </c>
      <c r="F37">
        <v>183</v>
      </c>
      <c r="G37">
        <v>156</v>
      </c>
      <c r="H37">
        <v>150</v>
      </c>
      <c r="I37">
        <v>170</v>
      </c>
      <c r="J37">
        <v>164</v>
      </c>
      <c r="K37">
        <v>159</v>
      </c>
      <c r="L37">
        <v>173</v>
      </c>
      <c r="M37">
        <v>177</v>
      </c>
      <c r="N37">
        <v>152</v>
      </c>
      <c r="O37">
        <v>157</v>
      </c>
      <c r="P37">
        <v>168</v>
      </c>
      <c r="Q37">
        <v>161</v>
      </c>
      <c r="R37">
        <v>165</v>
      </c>
      <c r="S37">
        <v>174</v>
      </c>
      <c r="T37">
        <v>180</v>
      </c>
      <c r="U37">
        <v>154</v>
      </c>
      <c r="V37">
        <v>211</v>
      </c>
      <c r="W37">
        <v>177</v>
      </c>
      <c r="X37">
        <v>3529</v>
      </c>
      <c r="Y37" t="str">
        <v>8.5%</v>
      </c>
    </row>
    <row r="38">
      <c r="A38" t="str">
        <v xml:space="preserve">  - Makanan (Organik Basah)</v>
      </c>
      <c r="B38" t="str">
        <v>Campur (TPA+TPS3R)</v>
      </c>
      <c r="C38">
        <v>25</v>
      </c>
      <c r="D38">
        <v>24</v>
      </c>
      <c r="E38">
        <v>26</v>
      </c>
      <c r="F38">
        <v>27</v>
      </c>
      <c r="G38">
        <v>24</v>
      </c>
      <c r="H38">
        <v>23</v>
      </c>
      <c r="I38">
        <v>26</v>
      </c>
      <c r="J38">
        <v>25</v>
      </c>
      <c r="K38">
        <v>24</v>
      </c>
      <c r="L38">
        <v>26</v>
      </c>
      <c r="M38">
        <v>26</v>
      </c>
      <c r="N38">
        <v>23</v>
      </c>
      <c r="O38">
        <v>24</v>
      </c>
      <c r="P38">
        <v>25</v>
      </c>
      <c r="Q38">
        <v>24</v>
      </c>
      <c r="R38">
        <v>25</v>
      </c>
      <c r="S38">
        <v>26</v>
      </c>
      <c r="T38">
        <v>27</v>
      </c>
      <c r="U38">
        <v>23</v>
      </c>
      <c r="V38">
        <v>40</v>
      </c>
      <c r="W38">
        <v>27</v>
      </c>
      <c r="X38">
        <v>540</v>
      </c>
      <c r="Y38" t="str">
        <v/>
      </c>
    </row>
    <row r="39">
      <c r="A39" t="str">
        <v xml:space="preserve">  - Daun (Sapuan Jalan &amp; Taman)</v>
      </c>
      <c r="B39" t="str">
        <v>Campur (TPA+TPS3R)</v>
      </c>
      <c r="C39">
        <v>106</v>
      </c>
      <c r="D39">
        <v>102</v>
      </c>
      <c r="E39">
        <v>109</v>
      </c>
      <c r="F39">
        <v>117</v>
      </c>
      <c r="G39">
        <v>99</v>
      </c>
      <c r="H39">
        <v>95</v>
      </c>
      <c r="I39">
        <v>108</v>
      </c>
      <c r="J39">
        <v>104</v>
      </c>
      <c r="K39">
        <v>101</v>
      </c>
      <c r="L39">
        <v>110</v>
      </c>
      <c r="M39">
        <v>113</v>
      </c>
      <c r="N39">
        <v>97</v>
      </c>
      <c r="O39">
        <v>100</v>
      </c>
      <c r="P39">
        <v>107</v>
      </c>
      <c r="Q39">
        <v>103</v>
      </c>
      <c r="R39">
        <v>105</v>
      </c>
      <c r="S39">
        <v>111</v>
      </c>
      <c r="T39">
        <v>115</v>
      </c>
      <c r="U39">
        <v>98</v>
      </c>
      <c r="V39">
        <v>130</v>
      </c>
      <c r="W39">
        <v>113</v>
      </c>
      <c r="X39">
        <v>2243</v>
      </c>
      <c r="Y39" t="str">
        <v/>
      </c>
    </row>
    <row r="40">
      <c r="A40" t="str">
        <v xml:space="preserve">  ↳ Pakan: Nurdin Aco</v>
      </c>
      <c r="B40" t="str">
        <v>Pakan Ternak</v>
      </c>
      <c r="C40">
        <v>35</v>
      </c>
      <c r="D40">
        <v>34</v>
      </c>
      <c r="E40">
        <v>37</v>
      </c>
      <c r="F40">
        <v>39</v>
      </c>
      <c r="G40">
        <v>33</v>
      </c>
      <c r="H40">
        <v>32</v>
      </c>
      <c r="I40">
        <v>36</v>
      </c>
      <c r="J40">
        <v>35</v>
      </c>
      <c r="K40">
        <v>34</v>
      </c>
      <c r="L40">
        <v>37</v>
      </c>
      <c r="M40">
        <v>38</v>
      </c>
      <c r="N40">
        <v>32</v>
      </c>
      <c r="O40">
        <v>33</v>
      </c>
      <c r="P40">
        <v>36</v>
      </c>
      <c r="Q40">
        <v>34</v>
      </c>
      <c r="R40">
        <v>35</v>
      </c>
      <c r="S40">
        <v>37</v>
      </c>
      <c r="T40">
        <v>38</v>
      </c>
      <c r="U40">
        <v>33</v>
      </c>
      <c r="V40">
        <v>41</v>
      </c>
      <c r="W40">
        <v>37</v>
      </c>
      <c r="X40">
        <v>746</v>
      </c>
      <c r="Y40" t="str">
        <v/>
      </c>
    </row>
    <row r="41">
      <c r="A41" t="str">
        <v>REKAP TOTAL KECAMATAN UJUNG PANDANG</v>
      </c>
      <c r="B41" t="str">
        <v>GRAND TOTAL</v>
      </c>
      <c r="C41">
        <v>1966</v>
      </c>
      <c r="D41">
        <v>1891</v>
      </c>
      <c r="E41">
        <v>2026</v>
      </c>
      <c r="F41">
        <v>2160</v>
      </c>
      <c r="G41">
        <v>1832</v>
      </c>
      <c r="H41">
        <v>1754</v>
      </c>
      <c r="I41">
        <v>2008</v>
      </c>
      <c r="J41">
        <v>1931</v>
      </c>
      <c r="K41">
        <v>1871</v>
      </c>
      <c r="L41">
        <v>2042</v>
      </c>
      <c r="M41">
        <v>2082</v>
      </c>
      <c r="N41">
        <v>1791</v>
      </c>
      <c r="O41">
        <v>1849</v>
      </c>
      <c r="P41">
        <v>1986</v>
      </c>
      <c r="Q41">
        <v>1906</v>
      </c>
      <c r="R41">
        <v>1944</v>
      </c>
      <c r="S41">
        <v>2065</v>
      </c>
      <c r="T41">
        <v>2123</v>
      </c>
      <c r="U41">
        <v>1811</v>
      </c>
      <c r="V41">
        <v>2298</v>
      </c>
      <c r="W41">
        <v>2086</v>
      </c>
      <c r="X41">
        <v>41422</v>
      </c>
      <c r="Y41" t="str">
        <v>100.0%</v>
      </c>
    </row>
  </sheetData>
  <ignoredErrors>
    <ignoredError numberStoredAsText="1" sqref="A1:Y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14.83203125" customWidth="1"/>
    <col min="2" max="2" width="24.83203125" customWidth="1"/>
    <col min="3" max="3" width="26.83203125" customWidth="1"/>
    <col min="4" max="4" width="24.83203125" customWidth="1"/>
    <col min="5" max="5" width="20.83203125" customWidth="1"/>
    <col min="6" max="6" width="20.83203125" customWidth="1"/>
    <col min="7" max="7" width="20.83203125" customWidth="1"/>
    <col min="8" max="8" width="32.83203125" customWidth="1"/>
  </cols>
  <sheetData>
    <row r="1">
      <c r="A1" t="str">
        <v>Tanggal</v>
      </c>
      <c r="B1" t="str">
        <v>Sampah_Masuk_TPS3R_Kg</v>
      </c>
      <c r="C1" t="str">
        <v>Biokonversi_Maggot_BSF_Kg</v>
      </c>
      <c r="D1" t="str">
        <v>Open_Windrow_WDR_Kg</v>
      </c>
      <c r="E1" t="str">
        <v>Total_Terolah_Kg</v>
      </c>
      <c r="F1" t="str">
        <v>Persen_Tingkat_Olah</v>
      </c>
      <c r="G1" t="str">
        <v>Status_Operasional</v>
      </c>
      <c r="H1" t="str">
        <v>Operator_TPS3R</v>
      </c>
    </row>
    <row r="2">
      <c r="A2" t="str">
        <v>2026-10-01</v>
      </c>
      <c r="B2">
        <v>944</v>
      </c>
      <c r="C2">
        <v>984</v>
      </c>
      <c r="D2">
        <v>94</v>
      </c>
      <c r="E2">
        <v>1078</v>
      </c>
      <c r="F2" t="str">
        <v>114.2%</v>
      </c>
      <c r="G2" t="str">
        <v>Normal &amp; Aktif</v>
      </c>
      <c r="H2" t="str">
        <v>Mansyur Daeng Bella (Koordinator)</v>
      </c>
    </row>
    <row r="3">
      <c r="A3" t="str">
        <v>2026-10-02</v>
      </c>
      <c r="B3">
        <v>910</v>
      </c>
      <c r="C3">
        <v>945</v>
      </c>
      <c r="D3">
        <v>90</v>
      </c>
      <c r="E3">
        <v>1035</v>
      </c>
      <c r="F3" t="str">
        <v>113.7%</v>
      </c>
      <c r="G3" t="str">
        <v>Normal &amp; Aktif</v>
      </c>
      <c r="H3" t="str">
        <v>Mansyur Daeng Bella (Koordinator)</v>
      </c>
    </row>
    <row r="4">
      <c r="A4" t="str">
        <v>2026-10-03</v>
      </c>
      <c r="B4">
        <v>973</v>
      </c>
      <c r="C4">
        <v>1013</v>
      </c>
      <c r="D4">
        <v>97</v>
      </c>
      <c r="E4">
        <v>1110</v>
      </c>
      <c r="F4" t="str">
        <v>114.1%</v>
      </c>
      <c r="G4" t="str">
        <v>Normal &amp; Aktif</v>
      </c>
      <c r="H4" t="str">
        <v>Mansyur Daeng Bella (Koordinator)</v>
      </c>
    </row>
    <row r="5">
      <c r="A5" t="str">
        <v>2026-10-04</v>
      </c>
      <c r="B5">
        <v>1038</v>
      </c>
      <c r="C5">
        <v>1080</v>
      </c>
      <c r="D5">
        <v>103</v>
      </c>
      <c r="E5">
        <v>1183</v>
      </c>
      <c r="F5" t="str">
        <v>114.0%</v>
      </c>
      <c r="G5" t="str">
        <v>Normal &amp; Aktif</v>
      </c>
      <c r="H5" t="str">
        <v>Mansyur Daeng Bella (Koordinator)</v>
      </c>
    </row>
    <row r="6">
      <c r="A6" t="str">
        <v>2026-10-05</v>
      </c>
      <c r="B6">
        <v>880</v>
      </c>
      <c r="C6">
        <v>916</v>
      </c>
      <c r="D6">
        <v>87</v>
      </c>
      <c r="E6">
        <v>1003</v>
      </c>
      <c r="F6" t="str">
        <v>114.0%</v>
      </c>
      <c r="G6" t="str">
        <v>Normal &amp; Aktif</v>
      </c>
      <c r="H6" t="str">
        <v>Mansyur Daeng Bella (Koordinator)</v>
      </c>
    </row>
    <row r="7">
      <c r="A7" t="str">
        <v>2026-10-06</v>
      </c>
      <c r="B7">
        <v>843</v>
      </c>
      <c r="C7">
        <v>878</v>
      </c>
      <c r="D7">
        <v>84</v>
      </c>
      <c r="E7">
        <v>962</v>
      </c>
      <c r="F7" t="str">
        <v>114.1%</v>
      </c>
      <c r="G7" t="str">
        <v>Normal &amp; Aktif</v>
      </c>
      <c r="H7" t="str">
        <v>Mansyur Daeng Bella (Koordinator)</v>
      </c>
    </row>
    <row r="8">
      <c r="A8" t="str">
        <v>2026-10-07</v>
      </c>
      <c r="B8">
        <v>964</v>
      </c>
      <c r="C8">
        <v>1003</v>
      </c>
      <c r="D8">
        <v>96</v>
      </c>
      <c r="E8">
        <v>1099</v>
      </c>
      <c r="F8" t="str">
        <v>114.0%</v>
      </c>
      <c r="G8" t="str">
        <v>Normal &amp; Aktif</v>
      </c>
      <c r="H8" t="str">
        <v>Mansyur Daeng Bella (Koordinator)</v>
      </c>
    </row>
    <row r="9">
      <c r="A9" t="str">
        <v>2026-10-08</v>
      </c>
      <c r="B9">
        <v>927</v>
      </c>
      <c r="C9">
        <v>965</v>
      </c>
      <c r="D9">
        <v>92</v>
      </c>
      <c r="E9">
        <v>1057</v>
      </c>
      <c r="F9" t="str">
        <v>114.0%</v>
      </c>
      <c r="G9" t="str">
        <v>Normal &amp; Aktif</v>
      </c>
      <c r="H9" t="str">
        <v>Mansyur Daeng Bella (Koordinator)</v>
      </c>
    </row>
    <row r="10">
      <c r="A10" t="str">
        <v>2026-10-09</v>
      </c>
      <c r="B10">
        <v>899</v>
      </c>
      <c r="C10">
        <v>936</v>
      </c>
      <c r="D10">
        <v>89</v>
      </c>
      <c r="E10">
        <v>1025</v>
      </c>
      <c r="F10" t="str">
        <v>114.0%</v>
      </c>
      <c r="G10" t="str">
        <v>Normal &amp; Aktif</v>
      </c>
      <c r="H10" t="str">
        <v>Mansyur Daeng Bella (Koordinator)</v>
      </c>
    </row>
    <row r="11">
      <c r="A11" t="str">
        <v>2026-10-10</v>
      </c>
      <c r="B11">
        <v>980</v>
      </c>
      <c r="C11">
        <v>1023</v>
      </c>
      <c r="D11">
        <v>97</v>
      </c>
      <c r="E11">
        <v>1120</v>
      </c>
      <c r="F11" t="str">
        <v>114.3%</v>
      </c>
      <c r="G11" t="str">
        <v>Normal &amp; Aktif</v>
      </c>
      <c r="H11" t="str">
        <v>Mansyur Daeng Bella (Koordinator)</v>
      </c>
    </row>
    <row r="12">
      <c r="A12" t="str">
        <v>2026-10-11</v>
      </c>
      <c r="B12">
        <v>999</v>
      </c>
      <c r="C12">
        <v>1042</v>
      </c>
      <c r="D12">
        <v>99</v>
      </c>
      <c r="E12">
        <v>1141</v>
      </c>
      <c r="F12" t="str">
        <v>114.2%</v>
      </c>
      <c r="G12" t="str">
        <v>Normal &amp; Aktif</v>
      </c>
      <c r="H12" t="str">
        <v>Mansyur Daeng Bella (Koordinator)</v>
      </c>
    </row>
    <row r="13">
      <c r="A13" t="str">
        <v>2026-10-12</v>
      </c>
      <c r="B13">
        <v>861</v>
      </c>
      <c r="C13">
        <v>897</v>
      </c>
      <c r="D13">
        <v>86</v>
      </c>
      <c r="E13">
        <v>983</v>
      </c>
      <c r="F13" t="str">
        <v>114.2%</v>
      </c>
      <c r="G13" t="str">
        <v>Normal &amp; Aktif</v>
      </c>
      <c r="H13" t="str">
        <v>Mansyur Daeng Bella (Koordinator)</v>
      </c>
    </row>
    <row r="14">
      <c r="A14" t="str">
        <v>2026-10-13</v>
      </c>
      <c r="B14">
        <v>889</v>
      </c>
      <c r="C14">
        <v>926</v>
      </c>
      <c r="D14">
        <v>88</v>
      </c>
      <c r="E14">
        <v>1014</v>
      </c>
      <c r="F14" t="str">
        <v>114.1%</v>
      </c>
      <c r="G14" t="str">
        <v>Normal &amp; Aktif</v>
      </c>
      <c r="H14" t="str">
        <v>Mansyur Daeng Bella (Koordinator)</v>
      </c>
    </row>
    <row r="15">
      <c r="A15" t="str">
        <v>2026-10-14</v>
      </c>
      <c r="B15">
        <v>954</v>
      </c>
      <c r="C15">
        <v>994</v>
      </c>
      <c r="D15">
        <v>95</v>
      </c>
      <c r="E15">
        <v>1089</v>
      </c>
      <c r="F15" t="str">
        <v>114.2%</v>
      </c>
      <c r="G15" t="str">
        <v>Normal &amp; Aktif</v>
      </c>
      <c r="H15" t="str">
        <v>Mansyur Daeng Bella (Koordinator)</v>
      </c>
    </row>
    <row r="16">
      <c r="A16" t="str">
        <v>2026-10-15</v>
      </c>
      <c r="B16">
        <v>918</v>
      </c>
      <c r="C16">
        <v>955</v>
      </c>
      <c r="D16">
        <v>91</v>
      </c>
      <c r="E16">
        <v>1046</v>
      </c>
      <c r="F16" t="str">
        <v>113.9%</v>
      </c>
      <c r="G16" t="str">
        <v>Normal &amp; Aktif</v>
      </c>
      <c r="H16" t="str">
        <v>Mansyur Daeng Bella (Koordinator)</v>
      </c>
    </row>
    <row r="17">
      <c r="A17" t="str">
        <v>2026-10-16</v>
      </c>
      <c r="B17">
        <v>936</v>
      </c>
      <c r="C17">
        <v>974</v>
      </c>
      <c r="D17">
        <v>93</v>
      </c>
      <c r="E17">
        <v>1067</v>
      </c>
      <c r="F17" t="str">
        <v>114.0%</v>
      </c>
      <c r="G17" t="str">
        <v>Normal &amp; Aktif</v>
      </c>
      <c r="H17" t="str">
        <v>Mansyur Daeng Bella (Koordinator)</v>
      </c>
    </row>
    <row r="18">
      <c r="A18" t="str">
        <v>2026-10-17</v>
      </c>
      <c r="B18">
        <v>990</v>
      </c>
      <c r="C18">
        <v>1032</v>
      </c>
      <c r="D18">
        <v>98</v>
      </c>
      <c r="E18">
        <v>1130</v>
      </c>
      <c r="F18" t="str">
        <v>114.1%</v>
      </c>
      <c r="G18" t="str">
        <v>Normal &amp; Aktif</v>
      </c>
      <c r="H18" t="str">
        <v>Mansyur Daeng Bella (Koordinator)</v>
      </c>
    </row>
    <row r="19">
      <c r="A19" t="str">
        <v>2026-10-18</v>
      </c>
      <c r="B19">
        <v>1022</v>
      </c>
      <c r="C19">
        <v>1061</v>
      </c>
      <c r="D19">
        <v>101</v>
      </c>
      <c r="E19">
        <v>1162</v>
      </c>
      <c r="F19" t="str">
        <v>113.7%</v>
      </c>
      <c r="G19" t="str">
        <v>Normal &amp; Aktif</v>
      </c>
      <c r="H19" t="str">
        <v>Mansyur Daeng Bella (Koordinator)</v>
      </c>
    </row>
    <row r="20">
      <c r="A20" t="str">
        <v>2026-10-19</v>
      </c>
      <c r="B20">
        <v>870</v>
      </c>
      <c r="C20">
        <v>907</v>
      </c>
      <c r="D20">
        <v>86</v>
      </c>
      <c r="E20">
        <v>993</v>
      </c>
      <c r="F20" t="str">
        <v>114.1%</v>
      </c>
      <c r="G20" t="str">
        <v>Normal &amp; Aktif</v>
      </c>
      <c r="H20" t="str">
        <v>Mansyur Daeng Bella (Koordinator)</v>
      </c>
    </row>
    <row r="21">
      <c r="A21" t="str">
        <v>2026-10-20</v>
      </c>
      <c r="B21">
        <v>1378</v>
      </c>
      <c r="C21">
        <v>780</v>
      </c>
      <c r="D21">
        <v>0</v>
      </c>
      <c r="E21">
        <v>780</v>
      </c>
      <c r="F21" t="str">
        <v>56.6%</v>
      </c>
      <c r="G21" t="str">
        <v>Normal &amp; Aktif</v>
      </c>
      <c r="H21" t="str">
        <v>Mansyur Daeng Bella (Koordinator)</v>
      </c>
    </row>
    <row r="22">
      <c r="A22" t="str">
        <v>2026-10-21</v>
      </c>
      <c r="B22">
        <v>1008</v>
      </c>
      <c r="C22">
        <v>1033</v>
      </c>
      <c r="D22">
        <v>99</v>
      </c>
      <c r="E22">
        <v>1132</v>
      </c>
      <c r="F22" t="str">
        <v>112.3%</v>
      </c>
      <c r="G22" t="str">
        <v>Normal &amp; Aktif</v>
      </c>
      <c r="H22" t="str">
        <v>Mansyur Daeng Bella (Koordinator)</v>
      </c>
    </row>
  </sheetData>
  <ignoredErrors>
    <ignoredError numberStoredAsText="1" sqref="A1:H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26.83203125" customWidth="1"/>
    <col min="2" max="2" width="18.83203125" customWidth="1"/>
    <col min="3" max="3" width="25.83203125" customWidth="1"/>
    <col min="4" max="4" width="35.83203125" customWidth="1"/>
    <col min="5" max="5" width="28.83203125" customWidth="1"/>
    <col min="6" max="6" width="20.83203125" customWidth="1"/>
  </cols>
  <sheetData>
    <row r="1">
      <c r="A1" t="str">
        <v>Kategori</v>
      </c>
      <c r="B1" t="str">
        <v>Kode_Wilayah</v>
      </c>
      <c r="C1" t="str">
        <v>Nama</v>
      </c>
      <c r="D1" t="str">
        <v>Keterangan_Alamat</v>
      </c>
      <c r="E1" t="str">
        <v>Penanggung_Jawab</v>
      </c>
      <c r="F1" t="str">
        <v>Kontak</v>
      </c>
    </row>
    <row r="2">
      <c r="A2" t="str">
        <v>MASTER KELURAHAN</v>
      </c>
      <c r="B2" t="str">
        <v>73.71.01.1001</v>
      </c>
      <c r="C2" t="str">
        <v>Kelurahan Baru</v>
      </c>
      <c r="D2" t="str">
        <v>Jl. Ahmad Yani No. 12</v>
      </c>
      <c r="E2" t="str">
        <v>H. Syamsuddin, S.Sos</v>
      </c>
      <c r="F2" t="str">
        <v>0812-4211-001</v>
      </c>
    </row>
    <row r="3">
      <c r="A3" t="str">
        <v>MASTER KELURAHAN</v>
      </c>
      <c r="B3" t="str">
        <v>73.71.01.1002</v>
      </c>
      <c r="C3" t="str">
        <v>Kelurahan Bulogading</v>
      </c>
      <c r="D3" t="str">
        <v>Jl. Somba Opu No. 45</v>
      </c>
      <c r="E3" t="str">
        <v>Dra. Hj. Nurhaedah</v>
      </c>
      <c r="F3" t="str">
        <v>0812-4211-002</v>
      </c>
    </row>
    <row r="4">
      <c r="A4" t="str">
        <v>MASTER KELURAHAN</v>
      </c>
      <c r="B4" t="str">
        <v>73.71.01.1003</v>
      </c>
      <c r="C4" t="str">
        <v>Kelurahan Lae-Lae</v>
      </c>
      <c r="D4" t="str">
        <v>Pulau Lae-Lae Dermaga Kayu Bangkoa</v>
      </c>
      <c r="E4" t="str">
        <v>Muhammad Aris, SE</v>
      </c>
      <c r="F4" t="str">
        <v>0812-4211-003</v>
      </c>
    </row>
    <row r="5">
      <c r="A5" t="str">
        <v>MASTER KELURAHAN</v>
      </c>
      <c r="B5" t="str">
        <v>73.71.01.1004</v>
      </c>
      <c r="C5" t="str">
        <v>Kelurahan Lajangiru</v>
      </c>
      <c r="D5" t="str">
        <v>Jl. Ince Nurdin No. 18</v>
      </c>
      <c r="E5" t="str">
        <v>Andi Baso, S.STP</v>
      </c>
      <c r="F5" t="str">
        <v>0812-4211-004</v>
      </c>
    </row>
    <row r="6">
      <c r="A6" t="str">
        <v>MASTER KELURAHAN</v>
      </c>
      <c r="B6" t="str">
        <v>73.71.01.1005</v>
      </c>
      <c r="C6" t="str">
        <v>Kelurahan Losari</v>
      </c>
      <c r="D6" t="str">
        <v>Jl. Penghibur No. 88</v>
      </c>
      <c r="E6" t="str">
        <v>Faisal Akbar, S.IP</v>
      </c>
      <c r="F6" t="str">
        <v>0812-4211-005</v>
      </c>
    </row>
    <row r="7">
      <c r="A7" t="str">
        <v>MASTER KELURAHAN</v>
      </c>
      <c r="B7" t="str">
        <v>73.71.01.1006</v>
      </c>
      <c r="C7" t="str">
        <v>Kelurahan Maloku</v>
      </c>
      <c r="D7" t="str">
        <v>Jl. Kajaolalido No. 24</v>
      </c>
      <c r="E7" t="str">
        <v>Rahmatia, S.Sos</v>
      </c>
      <c r="F7" t="str">
        <v>0812-4211-006</v>
      </c>
    </row>
    <row r="8">
      <c r="A8" t="str">
        <v>MASTER KELURAHAN</v>
      </c>
      <c r="B8" t="str">
        <v>73.71.01.1007</v>
      </c>
      <c r="C8" t="str">
        <v>Kelurahan Mangkura</v>
      </c>
      <c r="D8" t="str">
        <v>Jl. Botolempangan No. 31</v>
      </c>
      <c r="E8" t="str">
        <v>Sudirman, S.Pd</v>
      </c>
      <c r="F8" t="str">
        <v>0812-4211-007</v>
      </c>
    </row>
    <row r="9">
      <c r="A9" t="str">
        <v>MASTER KELURAHAN</v>
      </c>
      <c r="B9" t="str">
        <v>73.71.01.1008</v>
      </c>
      <c r="C9" t="str">
        <v>Kelurahan Pisang Selatan</v>
      </c>
      <c r="D9" t="str">
        <v>Jl. Gunung Merapi No. 7</v>
      </c>
      <c r="E9" t="str">
        <v>Hasnah, S.Sos</v>
      </c>
      <c r="F9" t="str">
        <v>0812-4211-008</v>
      </c>
    </row>
    <row r="10">
      <c r="A10" t="str">
        <v>MASTER KELURAHAN</v>
      </c>
      <c r="B10" t="str">
        <v>73.71.01.1009</v>
      </c>
      <c r="C10" t="str">
        <v>Kelurahan Pisang Utara</v>
      </c>
      <c r="D10" t="str">
        <v>Jl. Gunung Latimojong No. 15</v>
      </c>
      <c r="E10" t="str">
        <v>Irwan, SE</v>
      </c>
      <c r="F10" t="str">
        <v>0812-4211-009</v>
      </c>
    </row>
    <row r="11">
      <c r="A11" t="str">
        <v>MASTER KELURAHAN</v>
      </c>
      <c r="B11" t="str">
        <v>73.71.01.1010</v>
      </c>
      <c r="C11" t="str">
        <v>Kelurahan Sawerigading</v>
      </c>
      <c r="D11" t="str">
        <v>Jl. Sawerigading No. 10</v>
      </c>
      <c r="E11" t="str">
        <v>Drs. H. Mappatunru</v>
      </c>
      <c r="F11" t="str">
        <v>0812-4211-010</v>
      </c>
    </row>
    <row r="12">
      <c r="A12" t="str">
        <v>PETUGAS PAKAN TERDAFTAR</v>
      </c>
      <c r="B12" t="str">
        <v>col-musliadi</v>
      </c>
      <c r="C12" t="str">
        <v>Musliadi</v>
      </c>
      <c r="D12" t="str">
        <v>Kelurahan BARU</v>
      </c>
      <c r="E12" t="str">
        <v>Mitra Pengumpul Ternak</v>
      </c>
      <c r="F12" t="str">
        <v>0812-xxxx-xxxx</v>
      </c>
    </row>
    <row r="13">
      <c r="A13" t="str">
        <v>PETUGAS PAKAN TERDAFTAR</v>
      </c>
      <c r="B13" t="str">
        <v>col-ansu</v>
      </c>
      <c r="C13" t="str">
        <v>Ansu</v>
      </c>
      <c r="D13" t="str">
        <v>Kelurahan BULOGADING</v>
      </c>
      <c r="E13" t="str">
        <v>Mitra Pengumpul Ternak</v>
      </c>
      <c r="F13" t="str">
        <v>0812-xxxx-xxxx</v>
      </c>
    </row>
    <row r="14">
      <c r="A14" t="str">
        <v>PETUGAS PAKAN TERDAFTAR</v>
      </c>
      <c r="B14" t="str">
        <v>col-awal</v>
      </c>
      <c r="C14" t="str">
        <v>Awal Wahid</v>
      </c>
      <c r="D14" t="str">
        <v>Kelurahan BULOGADING</v>
      </c>
      <c r="E14" t="str">
        <v>Mitra Pengumpul Ternak</v>
      </c>
      <c r="F14" t="str">
        <v>0812-xxxx-xxxx</v>
      </c>
    </row>
    <row r="15">
      <c r="A15" t="str">
        <v>PETUGAS PAKAN TERDAFTAR</v>
      </c>
      <c r="B15" t="str">
        <v>col-hasrul</v>
      </c>
      <c r="C15" t="str">
        <v>Hasrul</v>
      </c>
      <c r="D15" t="str">
        <v>Kelurahan LOSARI</v>
      </c>
      <c r="E15" t="str">
        <v>Mitra Pengumpul Ternak</v>
      </c>
      <c r="F15" t="str">
        <v>0812-xxxx-xxxx</v>
      </c>
    </row>
    <row r="16">
      <c r="A16" t="str">
        <v>PETUGAS PAKAN TERDAFTAR</v>
      </c>
      <c r="B16" t="str">
        <v>col-erwin</v>
      </c>
      <c r="C16" t="str">
        <v>Erwin</v>
      </c>
      <c r="D16" t="str">
        <v>Kelurahan MALOKU</v>
      </c>
      <c r="E16" t="str">
        <v>Mitra Pengumpul Ternak</v>
      </c>
      <c r="F16" t="str">
        <v>0812-xxxx-xxxx</v>
      </c>
    </row>
    <row r="17">
      <c r="A17" t="str">
        <v>PETUGAS PAKAN TERDAFTAR</v>
      </c>
      <c r="B17" t="str">
        <v>col-samsir</v>
      </c>
      <c r="C17" t="str">
        <v>Samsir</v>
      </c>
      <c r="D17" t="str">
        <v>Kelurahan MALOKU</v>
      </c>
      <c r="E17" t="str">
        <v>Mitra Pengumpul Ternak</v>
      </c>
      <c r="F17" t="str">
        <v>0812-xxxx-xxxx</v>
      </c>
    </row>
    <row r="18">
      <c r="A18" t="str">
        <v>PETUGAS PAKAN TERDAFTAR</v>
      </c>
      <c r="B18" t="str">
        <v>col-malalengga</v>
      </c>
      <c r="C18" t="str">
        <v>Malalengga</v>
      </c>
      <c r="D18" t="str">
        <v>Kelurahan MANGKURA</v>
      </c>
      <c r="E18" t="str">
        <v>Mitra Pengumpul Ternak</v>
      </c>
      <c r="F18" t="str">
        <v>0812-xxxx-xxxx</v>
      </c>
    </row>
    <row r="19">
      <c r="A19" t="str">
        <v>PETUGAS PAKAN TERDAFTAR</v>
      </c>
      <c r="B19" t="str">
        <v>col-abd-rahman</v>
      </c>
      <c r="C19" t="str">
        <v>Abd. Rahman</v>
      </c>
      <c r="D19" t="str">
        <v>Kelurahan MANGKURA</v>
      </c>
      <c r="E19" t="str">
        <v>Mitra Pengumpul Ternak</v>
      </c>
      <c r="F19" t="str">
        <v>0812-xxxx-xxxx</v>
      </c>
    </row>
    <row r="20">
      <c r="A20" t="str">
        <v>PETUGAS PAKAN TERDAFTAR</v>
      </c>
      <c r="B20" t="str">
        <v>col-nurdin-aco</v>
      </c>
      <c r="C20" t="str">
        <v>Nurdin Aco</v>
      </c>
      <c r="D20" t="str">
        <v>Kelurahan SAWERIGADING</v>
      </c>
      <c r="E20" t="str">
        <v>Mitra Pengumpul Ternak</v>
      </c>
      <c r="F20" t="str">
        <v>0812-xxxx-xxxx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PANDUAN_IMPORT</vt:lpstr>
      <vt:lpstr>INPUT_HARIAN</vt:lpstr>
      <vt:lpstr>REKAP_HARIAN_RESMI</vt:lpstr>
      <vt:lpstr>REKAP_MATRIKS_BULANAN</vt:lpstr>
      <vt:lpstr>PENGOLAHAN_TPS3R</vt:lpstr>
      <vt:lpstr>MASTER_DATA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